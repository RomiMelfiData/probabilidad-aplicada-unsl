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c2bb2d289f563b/Licenciatura/Licenciatura en Datos UNSL/8) Probabilidad Aplicada/"/>
    </mc:Choice>
  </mc:AlternateContent>
  <xr:revisionPtr revIDLastSave="510" documentId="8_{AF8DB5A2-34A7-49D0-873D-DECB87652073}" xr6:coauthVersionLast="47" xr6:coauthVersionMax="47" xr10:uidLastSave="{ADF769A8-CE7D-413B-A4E5-02037B6BF310}"/>
  <bookViews>
    <workbookView xWindow="-120" yWindow="-120" windowWidth="20730" windowHeight="11040" firstSheet="7" activeTab="17" xr2:uid="{98CADE5E-4B34-4943-ACF7-32A3E6144CC7}"/>
  </bookViews>
  <sheets>
    <sheet name="Hoja1" sheetId="1" r:id="rId1"/>
    <sheet name="Hoja2" sheetId="2" r:id="rId2"/>
    <sheet name="Hoja3" sheetId="3" r:id="rId3"/>
    <sheet name="Distribución" sheetId="4" r:id="rId4"/>
    <sheet name="Convergencia" sheetId="5" r:id="rId5"/>
    <sheet name="P10 Distribución" sheetId="6" r:id="rId6"/>
    <sheet name="P10 Momentos" sheetId="7" r:id="rId7"/>
    <sheet name="P11X, " sheetId="8" r:id="rId8"/>
    <sheet name="P20" sheetId="9" r:id="rId9"/>
    <sheet name="P21" sheetId="10" r:id="rId10"/>
    <sheet name="P23" sheetId="11" r:id="rId11"/>
    <sheet name="P24" sheetId="12" r:id="rId12"/>
    <sheet name="P25" sheetId="13" r:id="rId13"/>
    <sheet name="P26" sheetId="14" r:id="rId14"/>
    <sheet name="P28" sheetId="15" r:id="rId15"/>
    <sheet name="P29" sheetId="16" r:id="rId16"/>
    <sheet name="P30" sheetId="17" r:id="rId17"/>
    <sheet name="P31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18" l="1"/>
  <c r="F11" i="18"/>
  <c r="F10" i="18"/>
  <c r="F9" i="18"/>
  <c r="F8" i="18"/>
  <c r="F7" i="18"/>
  <c r="F6" i="18"/>
  <c r="F5" i="18"/>
  <c r="F4" i="18"/>
  <c r="F3" i="18"/>
  <c r="F2" i="18"/>
  <c r="E13" i="18"/>
  <c r="E12" i="18"/>
  <c r="E11" i="18"/>
  <c r="E10" i="18"/>
  <c r="E9" i="18"/>
  <c r="E8" i="18"/>
  <c r="E7" i="18"/>
  <c r="E6" i="18"/>
  <c r="E5" i="18"/>
  <c r="E4" i="18"/>
  <c r="E3" i="18"/>
  <c r="E2" i="18"/>
  <c r="D5" i="18"/>
  <c r="D6" i="18" s="1"/>
  <c r="D7" i="18" s="1"/>
  <c r="D8" i="18" s="1"/>
  <c r="D9" i="18" s="1"/>
  <c r="D10" i="18" s="1"/>
  <c r="D11" i="18" s="1"/>
  <c r="D12" i="18" s="1"/>
  <c r="D4" i="18"/>
  <c r="D3" i="18"/>
  <c r="D2" i="18"/>
  <c r="C13" i="18"/>
  <c r="C12" i="18"/>
  <c r="C11" i="18"/>
  <c r="C10" i="18"/>
  <c r="C9" i="18"/>
  <c r="C8" i="18"/>
  <c r="C7" i="18"/>
  <c r="C6" i="18"/>
  <c r="C5" i="18"/>
  <c r="C4" i="18"/>
  <c r="C3" i="18"/>
  <c r="C2" i="18"/>
  <c r="B13" i="18"/>
  <c r="B12" i="17"/>
  <c r="E9" i="17"/>
  <c r="E8" i="17"/>
  <c r="E7" i="17"/>
  <c r="E6" i="17"/>
  <c r="E5" i="17"/>
  <c r="E4" i="17"/>
  <c r="E3" i="17"/>
  <c r="E2" i="17"/>
  <c r="D9" i="17"/>
  <c r="B9" i="17"/>
  <c r="D8" i="17"/>
  <c r="D7" i="17"/>
  <c r="D6" i="17"/>
  <c r="D5" i="17"/>
  <c r="D4" i="17"/>
  <c r="D3" i="17"/>
  <c r="D2" i="17"/>
  <c r="C5" i="17"/>
  <c r="C6" i="17" s="1"/>
  <c r="C7" i="17" s="1"/>
  <c r="C8" i="17" s="1"/>
  <c r="C4" i="17"/>
  <c r="C3" i="17"/>
  <c r="C2" i="17"/>
  <c r="B13" i="16"/>
  <c r="C13" i="16"/>
  <c r="D9" i="16" s="1"/>
  <c r="E9" i="16" s="1"/>
  <c r="C12" i="16"/>
  <c r="C11" i="16"/>
  <c r="C10" i="16"/>
  <c r="C9" i="16"/>
  <c r="C8" i="16"/>
  <c r="C7" i="16"/>
  <c r="C6" i="16"/>
  <c r="C5" i="16"/>
  <c r="C4" i="16"/>
  <c r="C3" i="16"/>
  <c r="C2" i="16"/>
  <c r="C4" i="15"/>
  <c r="C3" i="15"/>
  <c r="C2" i="15"/>
  <c r="B5" i="15"/>
  <c r="B5" i="14"/>
  <c r="D4" i="14"/>
  <c r="D3" i="14"/>
  <c r="D5" i="14" s="1"/>
  <c r="E5" i="13"/>
  <c r="E4" i="13"/>
  <c r="E3" i="13"/>
  <c r="E2" i="13"/>
  <c r="B5" i="13"/>
  <c r="B4" i="13"/>
  <c r="C5" i="12"/>
  <c r="D5" i="12"/>
  <c r="D4" i="12"/>
  <c r="D3" i="12"/>
  <c r="D2" i="12"/>
  <c r="B5" i="12"/>
  <c r="E5" i="11"/>
  <c r="E4" i="11"/>
  <c r="E3" i="11"/>
  <c r="E2" i="11"/>
  <c r="D5" i="11"/>
  <c r="D4" i="11"/>
  <c r="D3" i="11"/>
  <c r="D2" i="11"/>
  <c r="C5" i="11"/>
  <c r="B5" i="11"/>
  <c r="A20" i="10"/>
  <c r="E14" i="10"/>
  <c r="E15" i="10" s="1"/>
  <c r="E16" i="10" s="1"/>
  <c r="E17" i="10" s="1"/>
  <c r="E13" i="10"/>
  <c r="E12" i="10"/>
  <c r="C17" i="10"/>
  <c r="C16" i="10"/>
  <c r="C15" i="10"/>
  <c r="C14" i="10"/>
  <c r="C18" i="10" s="1"/>
  <c r="C13" i="10"/>
  <c r="C12" i="10"/>
  <c r="B17" i="10"/>
  <c r="B16" i="10"/>
  <c r="B15" i="10"/>
  <c r="B14" i="10"/>
  <c r="B13" i="10"/>
  <c r="B12" i="10"/>
  <c r="D17" i="10"/>
  <c r="D16" i="10"/>
  <c r="D15" i="10"/>
  <c r="D13" i="10"/>
  <c r="D12" i="10"/>
  <c r="D7" i="10"/>
  <c r="D6" i="10"/>
  <c r="D5" i="10"/>
  <c r="D4" i="10"/>
  <c r="D3" i="10"/>
  <c r="D2" i="10"/>
  <c r="C8" i="10"/>
  <c r="B8" i="10"/>
  <c r="D8" i="10" s="1"/>
  <c r="D6" i="9"/>
  <c r="D5" i="9"/>
  <c r="D4" i="9"/>
  <c r="D3" i="9"/>
  <c r="D2" i="9"/>
  <c r="B6" i="9"/>
  <c r="G2" i="8"/>
  <c r="B9" i="8"/>
  <c r="C5" i="8" s="1"/>
  <c r="B13" i="7"/>
  <c r="B12" i="7"/>
  <c r="B11" i="7"/>
  <c r="B10" i="7"/>
  <c r="D8" i="7"/>
  <c r="C8" i="7"/>
  <c r="B8" i="7"/>
  <c r="D7" i="7"/>
  <c r="C7" i="7"/>
  <c r="D6" i="7"/>
  <c r="C6" i="7"/>
  <c r="D5" i="7"/>
  <c r="C5" i="7"/>
  <c r="D4" i="7"/>
  <c r="C4" i="7"/>
  <c r="D3" i="7"/>
  <c r="C3" i="7"/>
  <c r="D2" i="7"/>
  <c r="C2" i="7"/>
  <c r="B8" i="6"/>
  <c r="C7" i="6"/>
  <c r="C6" i="6"/>
  <c r="C5" i="6"/>
  <c r="C4" i="6"/>
  <c r="C3" i="6"/>
  <c r="C2" i="6"/>
  <c r="G8" i="4"/>
  <c r="F8" i="4"/>
  <c r="E8" i="4"/>
  <c r="D8" i="4"/>
  <c r="C8" i="4"/>
  <c r="B8" i="4"/>
  <c r="Q3" i="2"/>
  <c r="P6" i="2"/>
  <c r="Q6" i="2" s="1"/>
  <c r="P5" i="2"/>
  <c r="Q5" i="2" s="1"/>
  <c r="P4" i="2"/>
  <c r="Q4" i="2" s="1"/>
  <c r="P3" i="2"/>
  <c r="P2" i="2"/>
  <c r="Q2" i="2" s="1"/>
  <c r="L7" i="2"/>
  <c r="L6" i="2"/>
  <c r="L5" i="2"/>
  <c r="L4" i="2"/>
  <c r="L3" i="2"/>
  <c r="L2" i="2"/>
  <c r="G15" i="1"/>
  <c r="G14" i="1"/>
  <c r="G13" i="1"/>
  <c r="G12" i="1"/>
  <c r="G11" i="1"/>
  <c r="G10" i="1"/>
  <c r="G9" i="1"/>
  <c r="G8" i="1"/>
  <c r="G7" i="1"/>
  <c r="G6" i="1"/>
  <c r="D7" i="1"/>
  <c r="D6" i="1"/>
  <c r="D5" i="1"/>
  <c r="D4" i="1"/>
  <c r="D3" i="1"/>
  <c r="D2" i="1"/>
  <c r="B8" i="1"/>
  <c r="C5" i="1" s="1"/>
  <c r="F13" i="18" l="1"/>
  <c r="D8" i="16"/>
  <c r="E8" i="16" s="1"/>
  <c r="D12" i="16"/>
  <c r="E12" i="16" s="1"/>
  <c r="D2" i="16"/>
  <c r="E2" i="16" s="1"/>
  <c r="D6" i="16"/>
  <c r="E6" i="16" s="1"/>
  <c r="D10" i="16"/>
  <c r="E10" i="16" s="1"/>
  <c r="D3" i="16"/>
  <c r="E3" i="16" s="1"/>
  <c r="D7" i="16"/>
  <c r="E7" i="16" s="1"/>
  <c r="D11" i="16"/>
  <c r="E11" i="16" s="1"/>
  <c r="D4" i="16"/>
  <c r="E4" i="16" s="1"/>
  <c r="D5" i="16"/>
  <c r="E5" i="16" s="1"/>
  <c r="D14" i="10"/>
  <c r="B18" i="10"/>
  <c r="D18" i="10" s="1"/>
  <c r="C6" i="8"/>
  <c r="C2" i="8"/>
  <c r="D2" i="8" s="1"/>
  <c r="D3" i="8" s="1"/>
  <c r="D4" i="8" s="1"/>
  <c r="D5" i="8" s="1"/>
  <c r="D6" i="8" s="1"/>
  <c r="D7" i="8" s="1"/>
  <c r="D8" i="8" s="1"/>
  <c r="C3" i="8"/>
  <c r="C7" i="8"/>
  <c r="C4" i="8"/>
  <c r="C8" i="8"/>
  <c r="C4" i="1"/>
  <c r="C7" i="1"/>
  <c r="C3" i="1"/>
  <c r="C2" i="1"/>
  <c r="C8" i="1" s="1"/>
  <c r="C6" i="1"/>
  <c r="E13" i="16" l="1"/>
  <c r="F13" i="16" s="1"/>
  <c r="C9" i="8"/>
  <c r="J6" i="2"/>
  <c r="J5" i="2"/>
  <c r="J4" i="2"/>
  <c r="J2" i="2"/>
  <c r="J3" i="2"/>
  <c r="G52" i="2"/>
  <c r="F52" i="2"/>
  <c r="J7" i="2" l="1"/>
  <c r="K2" i="2" l="1"/>
  <c r="K6" i="2"/>
  <c r="K5" i="2"/>
  <c r="K3" i="2"/>
  <c r="K4" i="2"/>
  <c r="K7" i="2" l="1"/>
</calcChain>
</file>

<file path=xl/sharedStrings.xml><?xml version="1.0" encoding="utf-8"?>
<sst xmlns="http://schemas.openxmlformats.org/spreadsheetml/2006/main" count="378" uniqueCount="137">
  <si>
    <t>Comisión anual (USD)</t>
  </si>
  <si>
    <t>Frecuencia</t>
  </si>
  <si>
    <t>TOTAL</t>
  </si>
  <si>
    <t>0-4999</t>
  </si>
  <si>
    <t>5000-9999</t>
  </si>
  <si>
    <t>10000-14999</t>
  </si>
  <si>
    <t>15000-19999</t>
  </si>
  <si>
    <t>20000-24999</t>
  </si>
  <si>
    <t>25000 o más</t>
  </si>
  <si>
    <t>p(x)                                                         Frecuencia relativa</t>
  </si>
  <si>
    <t>F(x)=P(X≤x)</t>
  </si>
  <si>
    <t>x</t>
  </si>
  <si>
    <t>F(x)</t>
  </si>
  <si>
    <t>Lanzamiento</t>
  </si>
  <si>
    <t>Moneda 1</t>
  </si>
  <si>
    <t>Moneda 2</t>
  </si>
  <si>
    <t>Moneda 3</t>
  </si>
  <si>
    <t>Moneda 4</t>
  </si>
  <si>
    <t>N° Caras</t>
  </si>
  <si>
    <t>N° Cruces</t>
  </si>
  <si>
    <t>p(x) frecuencial</t>
  </si>
  <si>
    <t>Frecuencia observada</t>
  </si>
  <si>
    <t>p(x) teórica</t>
  </si>
  <si>
    <t>C</t>
  </si>
  <si>
    <t>X</t>
  </si>
  <si>
    <t>Caras (r)</t>
  </si>
  <si>
    <t>C(4; r)</t>
  </si>
  <si>
    <t>Resultado</t>
  </si>
  <si>
    <t>C(4; 0)</t>
  </si>
  <si>
    <t>C(4; 1)</t>
  </si>
  <si>
    <t>C(4; 2)</t>
  </si>
  <si>
    <t>C(4; 3)</t>
  </si>
  <si>
    <t>C(4; 4)</t>
  </si>
  <si>
    <t>Cara</t>
  </si>
  <si>
    <t>n=100</t>
  </si>
  <si>
    <t>n=1000</t>
  </si>
  <si>
    <t>n=10000</t>
  </si>
  <si>
    <t>n=100000</t>
  </si>
  <si>
    <t>Frecuencia relativa (n=100000)</t>
  </si>
  <si>
    <t>Probabilidad teórica</t>
  </si>
  <si>
    <t>Total</t>
  </si>
  <si>
    <t>Lanzamientos (n)</t>
  </si>
  <si>
    <t>Frecuencia de 6</t>
  </si>
  <si>
    <t>Frecuencia relativa f(6)</t>
  </si>
  <si>
    <t>P teórica</t>
  </si>
  <si>
    <t>|f(6) - 1/6|</t>
  </si>
  <si>
    <t>Departamentos libres (x)</t>
  </si>
  <si>
    <t>p(x)</t>
  </si>
  <si>
    <t>F(x) = P(X≤x)</t>
  </si>
  <si>
    <t>x·p(x)</t>
  </si>
  <si>
    <t>x²·p(x)</t>
  </si>
  <si>
    <t>E(X)</t>
  </si>
  <si>
    <t>E(X²)</t>
  </si>
  <si>
    <t>x_step</t>
  </si>
  <si>
    <t>F_step</t>
  </si>
  <si>
    <t>V(X) = E(X²) − [E(X)]²</t>
  </si>
  <si>
    <r>
      <t xml:space="preserve">σ = </t>
    </r>
    <r>
      <rPr>
        <b/>
        <sz val="11"/>
        <color theme="1"/>
        <rFont val="Aptos Narrow"/>
        <family val="2"/>
      </rPr>
      <t>√V(X)</t>
    </r>
  </si>
  <si>
    <t xml:space="preserve">X </t>
  </si>
  <si>
    <t>p(x)=f/4876</t>
  </si>
  <si>
    <t>Cadena</t>
  </si>
  <si>
    <t>Proporsión de produción P(Ai)</t>
  </si>
  <si>
    <t>Tasa de defecto P(D/Ai)</t>
  </si>
  <si>
    <t>A1</t>
  </si>
  <si>
    <t>A2</t>
  </si>
  <si>
    <t>A3</t>
  </si>
  <si>
    <t>A4</t>
  </si>
  <si>
    <t>Probabilidad total P(D/Ai)P(Ai)</t>
  </si>
  <si>
    <t>Ocupación</t>
  </si>
  <si>
    <t>Hombres</t>
  </si>
  <si>
    <t>Mujeres</t>
  </si>
  <si>
    <t>Directivo/Profesional</t>
  </si>
  <si>
    <t>Enseñanza/Ventas/Administrativo</t>
  </si>
  <si>
    <t>Servicio</t>
  </si>
  <si>
    <t>Producción con precisión</t>
  </si>
  <si>
    <t>Operadores/0breros</t>
  </si>
  <si>
    <t>Agricultura/Ganadería/Pesca</t>
  </si>
  <si>
    <t>Tabla de Probabilidad Conjunta y Marginales</t>
  </si>
  <si>
    <t>Acumulada</t>
  </si>
  <si>
    <t>Sector</t>
  </si>
  <si>
    <t>Administración</t>
  </si>
  <si>
    <t>Salud</t>
  </si>
  <si>
    <t>Otros</t>
  </si>
  <si>
    <t>P(sector)</t>
  </si>
  <si>
    <t>P(Mujeres/Sector)</t>
  </si>
  <si>
    <t>P(Hombre/Sector)</t>
  </si>
  <si>
    <t>P(H/Sector)P(Sector)</t>
  </si>
  <si>
    <t>P(H)=0,5575</t>
  </si>
  <si>
    <t>Total H:</t>
  </si>
  <si>
    <t>Máquina</t>
  </si>
  <si>
    <t>A</t>
  </si>
  <si>
    <t>B</t>
  </si>
  <si>
    <t>Produce</t>
  </si>
  <si>
    <t>P(D/Maq)</t>
  </si>
  <si>
    <t>P(D/Maq)P(Maq)</t>
  </si>
  <si>
    <t>Linea</t>
  </si>
  <si>
    <t>E1</t>
  </si>
  <si>
    <t>E2</t>
  </si>
  <si>
    <t>E3</t>
  </si>
  <si>
    <t>P(L)</t>
  </si>
  <si>
    <t>P(H/L)</t>
  </si>
  <si>
    <t>P(M/L)</t>
  </si>
  <si>
    <t>P(H/L)P(L)</t>
  </si>
  <si>
    <t>P(H): El 28% del total de pasajeros es hombre</t>
  </si>
  <si>
    <t>Evento</t>
  </si>
  <si>
    <t>Accidente con alarma</t>
  </si>
  <si>
    <t>Sin accidente con alarma</t>
  </si>
  <si>
    <t>P(Suene/ACA)</t>
  </si>
  <si>
    <t>P(Suene/ACA)P(ACA)</t>
  </si>
  <si>
    <t>P(ACA)=0,115</t>
  </si>
  <si>
    <t>Columna1</t>
  </si>
  <si>
    <t>Columna2</t>
  </si>
  <si>
    <t>Columna3</t>
  </si>
  <si>
    <t>Columna4</t>
  </si>
  <si>
    <t>4 cilindros</t>
  </si>
  <si>
    <t>6 cilindros</t>
  </si>
  <si>
    <t>8 cilindros</t>
  </si>
  <si>
    <t>y</t>
  </si>
  <si>
    <t>p(y)</t>
  </si>
  <si>
    <t>y. p(y)=E(x)</t>
  </si>
  <si>
    <t xml:space="preserve">(y-u)^2 </t>
  </si>
  <si>
    <t>((y-u)^2 )p(y)</t>
  </si>
  <si>
    <t>Esperanza: u</t>
  </si>
  <si>
    <t>Varianza:o^2</t>
  </si>
  <si>
    <t>E(x)=p(x)x</t>
  </si>
  <si>
    <t>p(x)=FMP</t>
  </si>
  <si>
    <t>F(x)=FDA</t>
  </si>
  <si>
    <t>E(x)=u=0,24</t>
  </si>
  <si>
    <t>(x-u)^2p(x)</t>
  </si>
  <si>
    <t>V(x)=o^2=2,3704</t>
  </si>
  <si>
    <t>o=</t>
  </si>
  <si>
    <t>Total de vehiculos =</t>
  </si>
  <si>
    <t>Se tiene en cuenta que p(x) no da 1</t>
  </si>
  <si>
    <t>Se tiene en cuenta que los vehículos dan 10089</t>
  </si>
  <si>
    <t>Vehículos</t>
  </si>
  <si>
    <t>FDA=F(x)</t>
  </si>
  <si>
    <t>p(x)x</t>
  </si>
  <si>
    <t>Esperanza: E(x)=u=0,3025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</si>
</sst>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0" fontId="6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3" xfId="0" applyBorder="1"/>
    <xf numFmtId="0" fontId="1" fillId="0" borderId="3" xfId="0" applyFont="1" applyBorder="1"/>
    <xf numFmtId="0" fontId="1" fillId="4" borderId="3" xfId="0" applyFont="1" applyFill="1" applyBorder="1"/>
    <xf numFmtId="3" fontId="0" fillId="0" borderId="3" xfId="0" applyNumberFormat="1" applyBorder="1"/>
    <xf numFmtId="3" fontId="1" fillId="0" borderId="3" xfId="0" applyNumberFormat="1" applyFont="1" applyBorder="1"/>
    <xf numFmtId="165" fontId="0" fillId="0" borderId="3" xfId="0" applyNumberFormat="1" applyBorder="1"/>
    <xf numFmtId="165" fontId="1" fillId="0" borderId="3" xfId="0" applyNumberFormat="1" applyFont="1" applyBorder="1"/>
    <xf numFmtId="2" fontId="0" fillId="0" borderId="3" xfId="0" applyNumberFormat="1" applyBorder="1"/>
    <xf numFmtId="2" fontId="1" fillId="0" borderId="3" xfId="0" applyNumberFormat="1" applyFont="1" applyBorder="1"/>
    <xf numFmtId="16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8" fillId="5" borderId="4" xfId="0" applyFont="1" applyFill="1" applyBorder="1"/>
    <xf numFmtId="165" fontId="0" fillId="6" borderId="4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0.00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0.000"/>
      <border outline="0">
        <left style="medium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CCCCCC"/>
        </bottom>
      </border>
    </dxf>
    <dxf>
      <border outline="0">
        <left style="medium">
          <color rgb="FFCCCCCC"/>
        </left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Histograma de p(x)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p(x)                                                         Frecuencia relativa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Hoja1!$A$2:$A$7</c:f>
              <c:strCache>
                <c:ptCount val="6"/>
                <c:pt idx="0">
                  <c:v>0-4999</c:v>
                </c:pt>
                <c:pt idx="1">
                  <c:v>5000-9999</c:v>
                </c:pt>
                <c:pt idx="2">
                  <c:v>10000-14999</c:v>
                </c:pt>
                <c:pt idx="3">
                  <c:v>15000-19999</c:v>
                </c:pt>
                <c:pt idx="4">
                  <c:v>20000-24999</c:v>
                </c:pt>
                <c:pt idx="5">
                  <c:v>25000 o más</c:v>
                </c:pt>
              </c:strCache>
            </c:strRef>
          </c:cat>
          <c:val>
            <c:numRef>
              <c:f>Hoja1!$C$2:$C$7</c:f>
              <c:numCache>
                <c:formatCode>0.000</c:formatCode>
                <c:ptCount val="6"/>
                <c:pt idx="0">
                  <c:v>0.05</c:v>
                </c:pt>
                <c:pt idx="1">
                  <c:v>8.3333333333333329E-2</c:v>
                </c:pt>
                <c:pt idx="2">
                  <c:v>0.11666666666666667</c:v>
                </c:pt>
                <c:pt idx="3">
                  <c:v>0.41666666666666669</c:v>
                </c:pt>
                <c:pt idx="4">
                  <c:v>0.23333333333333334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3-4A9C-9C8E-5E18DDF6F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311384463"/>
        <c:axId val="311384943"/>
      </c:barChart>
      <c:catAx>
        <c:axId val="31138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Comisión anual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11384943"/>
        <c:crosses val="autoZero"/>
        <c:auto val="1"/>
        <c:lblAlgn val="ctr"/>
        <c:lblOffset val="100"/>
        <c:noMultiLvlLbl val="0"/>
      </c:catAx>
      <c:valAx>
        <c:axId val="31138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1138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Función de distribución acumulada F(x)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Hoja1!$F$2:$F$15</c:f>
              <c:numCache>
                <c:formatCode>General</c:formatCode>
                <c:ptCount val="14"/>
                <c:pt idx="0">
                  <c:v>0</c:v>
                </c:pt>
                <c:pt idx="1">
                  <c:v>4999</c:v>
                </c:pt>
                <c:pt idx="2">
                  <c:v>4999</c:v>
                </c:pt>
                <c:pt idx="3">
                  <c:v>9999</c:v>
                </c:pt>
                <c:pt idx="4">
                  <c:v>9999</c:v>
                </c:pt>
                <c:pt idx="5">
                  <c:v>14999</c:v>
                </c:pt>
                <c:pt idx="6">
                  <c:v>14999</c:v>
                </c:pt>
                <c:pt idx="7">
                  <c:v>19999</c:v>
                </c:pt>
                <c:pt idx="8">
                  <c:v>19999</c:v>
                </c:pt>
                <c:pt idx="9">
                  <c:v>24999</c:v>
                </c:pt>
                <c:pt idx="10">
                  <c:v>24999</c:v>
                </c:pt>
                <c:pt idx="11">
                  <c:v>30000</c:v>
                </c:pt>
                <c:pt idx="12">
                  <c:v>30000</c:v>
                </c:pt>
                <c:pt idx="13">
                  <c:v>35000</c:v>
                </c:pt>
              </c:numCache>
            </c:numRef>
          </c:xVal>
          <c:yVal>
            <c:numRef>
              <c:f>Hoja1!$G$2:$G$15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0.05</c:v>
                </c:pt>
                <c:pt idx="4">
                  <c:v>0.13333333333333333</c:v>
                </c:pt>
                <c:pt idx="5">
                  <c:v>0.13333333333333333</c:v>
                </c:pt>
                <c:pt idx="6">
                  <c:v>0.25</c:v>
                </c:pt>
                <c:pt idx="7">
                  <c:v>0.25</c:v>
                </c:pt>
                <c:pt idx="8">
                  <c:v>0.66666666666666674</c:v>
                </c:pt>
                <c:pt idx="9">
                  <c:v>0.66666666666666674</c:v>
                </c:pt>
                <c:pt idx="10">
                  <c:v>0.90000000000000013</c:v>
                </c:pt>
                <c:pt idx="11">
                  <c:v>0.90000000000000013</c:v>
                </c:pt>
                <c:pt idx="12">
                  <c:v>1.0000000000000002</c:v>
                </c:pt>
                <c:pt idx="13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20-4869-817E-1E28573A3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393583"/>
        <c:axId val="311396463"/>
      </c:scatterChart>
      <c:valAx>
        <c:axId val="31139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Comisión anual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11396463"/>
        <c:crosses val="autoZero"/>
        <c:crossBetween val="midCat"/>
      </c:valAx>
      <c:valAx>
        <c:axId val="3113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1139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probabilidad — Dado equilibrado (n = 100.000)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Distribución!$F$1</c:f>
              <c:strCache>
                <c:ptCount val="1"/>
                <c:pt idx="0">
                  <c:v>Frecuencia relativa (n=100000)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Distribución!$A$2:$A$7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Distribución!$F$2:$F$7</c:f>
              <c:numCache>
                <c:formatCode>0.0000</c:formatCode>
                <c:ptCount val="6"/>
                <c:pt idx="0">
                  <c:v>0.16814999999999999</c:v>
                </c:pt>
                <c:pt idx="1">
                  <c:v>0.16511999999999999</c:v>
                </c:pt>
                <c:pt idx="2">
                  <c:v>0.16736999999999999</c:v>
                </c:pt>
                <c:pt idx="3">
                  <c:v>0.16483</c:v>
                </c:pt>
                <c:pt idx="4">
                  <c:v>0.16683999999999999</c:v>
                </c:pt>
                <c:pt idx="5">
                  <c:v>0.16769000000000001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5-4375-9E33-F4EFCBD97A7C}"/>
            </c:ext>
          </c:extLst>
        </c:ser>
        <c:ser>
          <c:idx val="1"/>
          <c:order val="1"/>
          <c:tx>
            <c:strRef>
              <c:f>Distribución!$G$1</c:f>
              <c:strCache>
                <c:ptCount val="1"/>
                <c:pt idx="0">
                  <c:v>Probabilidad teórica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Distribución!$A$2:$A$7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Distribución!$G$2:$G$7</c:f>
              <c:numCache>
                <c:formatCode>0.0000</c:formatCode>
                <c:ptCount val="6"/>
                <c:pt idx="0">
                  <c:v>0.16669999999999999</c:v>
                </c:pt>
                <c:pt idx="1">
                  <c:v>0.16669999999999999</c:v>
                </c:pt>
                <c:pt idx="2">
                  <c:v>0.16669999999999999</c:v>
                </c:pt>
                <c:pt idx="3">
                  <c:v>0.16669999999999999</c:v>
                </c:pt>
                <c:pt idx="4">
                  <c:v>0.16669999999999999</c:v>
                </c:pt>
                <c:pt idx="5">
                  <c:v>0.16669999999999999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E5-4375-9E33-F4EFCBD97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206975"/>
        <c:axId val="542207455"/>
      </c:barChart>
      <c:catAx>
        <c:axId val="54220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42207455"/>
        <c:crosses val="autoZero"/>
        <c:auto val="1"/>
        <c:lblAlgn val="ctr"/>
        <c:lblOffset val="100"/>
        <c:noMultiLvlLbl val="0"/>
      </c:catAx>
      <c:valAx>
        <c:axId val="54220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4220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Convergencia de f(6) a 1/6 — Ley de los Grandes Números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f(6)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Convergencia!$A$2:$A$5</c:f>
              <c:numCache>
                <c:formatCode>#,##0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Convergencia!$C$2:$C$5</c:f>
              <c:numCache>
                <c:formatCode>0.0000</c:formatCode>
                <c:ptCount val="4"/>
                <c:pt idx="0">
                  <c:v>0.21</c:v>
                </c:pt>
                <c:pt idx="1">
                  <c:v>0.17399999999999999</c:v>
                </c:pt>
                <c:pt idx="2">
                  <c:v>0.16320000000000001</c:v>
                </c:pt>
                <c:pt idx="3">
                  <c:v>0.16769999999999999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F2-4EF0-ACEB-DB67A4452831}"/>
            </c:ext>
          </c:extLst>
        </c:ser>
        <c:ser>
          <c:idx val="1"/>
          <c:order val="1"/>
          <c:tx>
            <c:v>P teórica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Convergencia!$A$2:$A$5</c:f>
              <c:numCache>
                <c:formatCode>#,##0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Convergencia!$D$2:$D$5</c:f>
              <c:numCache>
                <c:formatCode>0.0000</c:formatCode>
                <c:ptCount val="4"/>
                <c:pt idx="0">
                  <c:v>0.16669999999999999</c:v>
                </c:pt>
                <c:pt idx="1">
                  <c:v>0.16669999999999999</c:v>
                </c:pt>
                <c:pt idx="2">
                  <c:v>0.16669999999999999</c:v>
                </c:pt>
                <c:pt idx="3">
                  <c:v>0.16669999999999999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F2-4EF0-ACEB-DB67A4452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355695"/>
        <c:axId val="681353775"/>
      </c:scatterChart>
      <c:valAx>
        <c:axId val="6813556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Lanzamientos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81353775"/>
        <c:crosses val="autoZero"/>
        <c:crossBetween val="midCat"/>
      </c:valAx>
      <c:valAx>
        <c:axId val="6813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81355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Función Masa de Probabilidad — Departamentos libres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'P10 Distribución'!$B$1</c:f>
              <c:strCache>
                <c:ptCount val="1"/>
                <c:pt idx="0">
                  <c:v>p(x)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'P10 Distribución'!$A$2:$A$7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'P10 Distribución'!$B$2:$B$7</c:f>
              <c:numCache>
                <c:formatCode>0.00</c:formatCode>
                <c:ptCount val="6"/>
                <c:pt idx="0">
                  <c:v>0.05</c:v>
                </c:pt>
                <c:pt idx="1">
                  <c:v>0.15</c:v>
                </c:pt>
                <c:pt idx="2">
                  <c:v>0.35</c:v>
                </c:pt>
                <c:pt idx="3">
                  <c:v>0.25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B-4435-A26E-45F2B2F1C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351855"/>
        <c:axId val="681352815"/>
      </c:barChart>
      <c:catAx>
        <c:axId val="681351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Departamentos libres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81352815"/>
        <c:crosses val="autoZero"/>
        <c:auto val="1"/>
        <c:lblAlgn val="ctr"/>
        <c:lblOffset val="100"/>
        <c:noMultiLvlLbl val="0"/>
      </c:catAx>
      <c:valAx>
        <c:axId val="6813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8135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Función de Distribución Acumulativa — Departamentos libres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'P10 Distribución'!$E$2:$E$15</c:f>
              <c:numCache>
                <c:formatCode>General</c:formatCode>
                <c:ptCount val="14"/>
                <c:pt idx="0">
                  <c:v>-0.5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5.5</c:v>
                </c:pt>
              </c:numCache>
            </c:numRef>
          </c:xVal>
          <c:yVal>
            <c:numRef>
              <c:f>'P10 Distribución'!$F$2:$F$15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0.2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0.8</c:v>
                </c:pt>
                <c:pt idx="9">
                  <c:v>0.8</c:v>
                </c:pt>
                <c:pt idx="10">
                  <c:v>0.9</c:v>
                </c:pt>
                <c:pt idx="11">
                  <c:v>0.9</c:v>
                </c:pt>
                <c:pt idx="12">
                  <c:v>1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6C-4D07-8EDB-BE0B97834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380655"/>
        <c:axId val="681392175"/>
      </c:scatterChart>
      <c:valAx>
        <c:axId val="68138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81392175"/>
        <c:crosses val="autoZero"/>
        <c:crossBetween val="midCat"/>
      </c:valAx>
      <c:valAx>
        <c:axId val="68139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8138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Histograma p(x)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p(x)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'P28'!$D$2:$D$4</c:f>
              <c:strCache>
                <c:ptCount val="3"/>
                <c:pt idx="0">
                  <c:v>4 cilindros</c:v>
                </c:pt>
                <c:pt idx="1">
                  <c:v>6 cilindros</c:v>
                </c:pt>
                <c:pt idx="2">
                  <c:v>8 cilindros</c:v>
                </c:pt>
              </c:strCache>
            </c:strRef>
          </c:cat>
          <c:val>
            <c:numRef>
              <c:f>'P28'!$B$2:$B$4</c:f>
              <c:numCache>
                <c:formatCode>General</c:formatCode>
                <c:ptCount val="3"/>
                <c:pt idx="0">
                  <c:v>0.45</c:v>
                </c:pt>
                <c:pt idx="1">
                  <c:v>0.4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E-46A6-8CF4-A74669A4B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227123296"/>
        <c:axId val="1227140096"/>
      </c:barChart>
      <c:catAx>
        <c:axId val="1227123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7140096"/>
        <c:crosses val="autoZero"/>
        <c:auto val="1"/>
        <c:lblAlgn val="ctr"/>
        <c:lblOffset val="100"/>
        <c:noMultiLvlLbl val="0"/>
      </c:catAx>
      <c:valAx>
        <c:axId val="12271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712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Histograma p(x)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p(x)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'P30'!$A$2:$A$8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'P30'!$B$2:$B$8</c:f>
              <c:numCache>
                <c:formatCode>General</c:formatCode>
                <c:ptCount val="7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0.2</c:v>
                </c:pt>
                <c:pt idx="5">
                  <c:v>0.06</c:v>
                </c:pt>
                <c:pt idx="6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2-4D00-8C7D-ACB34FAF2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965816880"/>
        <c:axId val="1965820720"/>
      </c:barChart>
      <c:catAx>
        <c:axId val="1965816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65820720"/>
        <c:crosses val="autoZero"/>
        <c:auto val="1"/>
        <c:lblAlgn val="ctr"/>
        <c:lblOffset val="100"/>
        <c:noMultiLvlLbl val="0"/>
      </c:catAx>
      <c:valAx>
        <c:axId val="196582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6581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Histograma p(x)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p(x)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'P31'!$A$2:$A$12</c:f>
              <c:numCache>
                <c:formatCode>@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'P31'!$B$2:$B$12</c:f>
              <c:numCache>
                <c:formatCode>General</c:formatCode>
                <c:ptCount val="11"/>
                <c:pt idx="0">
                  <c:v>0.83</c:v>
                </c:pt>
                <c:pt idx="1">
                  <c:v>0.1</c:v>
                </c:pt>
                <c:pt idx="2">
                  <c:v>0.05</c:v>
                </c:pt>
                <c:pt idx="3">
                  <c:v>0.02</c:v>
                </c:pt>
                <c:pt idx="4">
                  <c:v>5.0000000000000001E-3</c:v>
                </c:pt>
                <c:pt idx="5">
                  <c:v>2E-3</c:v>
                </c:pt>
                <c:pt idx="6">
                  <c:v>1E-3</c:v>
                </c:pt>
                <c:pt idx="7">
                  <c:v>5.0000000000000001E-4</c:v>
                </c:pt>
                <c:pt idx="8">
                  <c:v>2.0000000000000001E-4</c:v>
                </c:pt>
                <c:pt idx="9">
                  <c:v>1E-4</c:v>
                </c:pt>
                <c:pt idx="10">
                  <c:v>5.0000000000000002E-5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1-4BE3-A67B-FF8E8543F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22017072"/>
        <c:axId val="22018992"/>
      </c:barChart>
      <c:catAx>
        <c:axId val="2201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018992"/>
        <c:crosses val="autoZero"/>
        <c:auto val="1"/>
        <c:lblAlgn val="ctr"/>
        <c:lblOffset val="100"/>
        <c:noMultiLvlLbl val="0"/>
      </c:catAx>
      <c:valAx>
        <c:axId val="2201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01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0</xdr:row>
      <xdr:rowOff>66675</xdr:rowOff>
    </xdr:from>
    <xdr:to>
      <xdr:col>17</xdr:col>
      <xdr:colOff>31750</xdr:colOff>
      <xdr:row>17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1F5E2B-CD5E-D150-2475-8E5210375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63500</xdr:colOff>
      <xdr:row>18</xdr:row>
      <xdr:rowOff>107950</xdr:rowOff>
    </xdr:from>
    <xdr:to>
      <xdr:col>17</xdr:col>
      <xdr:colOff>53975</xdr:colOff>
      <xdr:row>38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584ACF0-DF38-1162-B661-A43DEF6AA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196752-6669-37B3-A50B-6E2AB8FE2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CB27FEC-1207-FDC2-876F-69BBAEC4A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3DA253-E303-9448-D477-01EDAECC6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4A57D6-A193-C9D7-0C4A-A4058B99B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DE1B13-F3F0-D757-ED8C-826C62136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752475</xdr:colOff>
      <xdr:row>0</xdr:row>
      <xdr:rowOff>0</xdr:rowOff>
    </xdr:from>
    <xdr:to>
      <xdr:col>16</xdr:col>
      <xdr:colOff>752475</xdr:colOff>
      <xdr:row>17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0680B0-B9B2-990B-C6AE-60EA57D7F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161925</xdr:rowOff>
    </xdr:from>
    <xdr:to>
      <xdr:col>11</xdr:col>
      <xdr:colOff>419100</xdr:colOff>
      <xdr:row>17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0DF518-872E-79D8-C80C-5359A4B08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2B96E-94D1-46A1-BACB-04FA1ECF74A9}" name="Tabla1" displayName="Tabla1" ref="A1:D8" totalsRowShown="0" headerRowDxfId="16" dataDxfId="15" tableBorderDxfId="14">
  <autoFilter ref="A1:D8" xr:uid="{B532B96E-94D1-46A1-BACB-04FA1ECF74A9}"/>
  <tableColumns count="4">
    <tableColumn id="1" xr3:uid="{C0A5E43C-BCF7-4C70-8E53-841D218919E7}" name="Comisión anual (USD)" dataDxfId="13"/>
    <tableColumn id="2" xr3:uid="{A4816D5D-E406-45FA-A6D0-B51A265B37FA}" name="Frecuencia" dataDxfId="12"/>
    <tableColumn id="3" xr3:uid="{59A69E7A-2123-482D-982D-4E7392F39D49}" name="p(x)                                                         Frecuencia relativa" dataDxfId="11">
      <calculatedColumnFormula>+Tabla1[[#This Row],[Frecuencia]]/$B$8</calculatedColumnFormula>
    </tableColumn>
    <tableColumn id="4" xr3:uid="{8A933E0C-EAFB-47F9-96F7-3B87BB354C10}" name="F(x)=P(X≤x)" dataDxfId="10">
      <calculatedColumnFormula>+D1+Tabla1[[#This Row],[p(x)                                                         Frecuencia relativa]]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A650EB-3D5B-4C69-BFB8-F2B1ED2899B7}" name="Tabla2" displayName="Tabla2" ref="A1:D9" totalsRowShown="0">
  <autoFilter ref="A1:D9" xr:uid="{DAA650EB-3D5B-4C69-BFB8-F2B1ED2899B7}"/>
  <tableColumns count="4">
    <tableColumn id="1" xr3:uid="{A33FF15F-14F5-4CC0-8995-8B5F52A34380}" name="X "/>
    <tableColumn id="2" xr3:uid="{9E609976-021D-49CC-8BF7-286DD8165B6E}" name="Frecuencia"/>
    <tableColumn id="3" xr3:uid="{7553DFA5-C0B8-4821-B6B0-B1D51C31D60E}" name="p(x)=f/4876" dataDxfId="9"/>
    <tableColumn id="4" xr3:uid="{788B5041-C0B9-4A2B-9F19-BDA75F1FAD57}" name="F(x)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A13907-FB6B-4CC9-9D06-56828E66F66F}" name="Tabla3" displayName="Tabla3" ref="A1:D6" totalsRowShown="0">
  <autoFilter ref="A1:D6" xr:uid="{14A13907-FB6B-4CC9-9D06-56828E66F66F}"/>
  <tableColumns count="4">
    <tableColumn id="1" xr3:uid="{480AA426-E04A-4FCF-8DBF-0D07C1669060}" name="Cadena"/>
    <tableColumn id="2" xr3:uid="{6A409CFF-12FB-4028-9E40-2B75F33C5350}" name="Proporsión de produción P(Ai)"/>
    <tableColumn id="3" xr3:uid="{3D929DC6-4E72-4C21-BFF7-121D10A5E309}" name="Tasa de defecto P(D/Ai)"/>
    <tableColumn id="4" xr3:uid="{D0D4E380-B0F8-4423-AFCE-B1F19EC0684F}" name="Probabilidad total P(D/Ai)P(Ai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F05212-5059-475B-9482-A736B9851520}" name="Tabla4" displayName="Tabla4" ref="A1:D8" totalsRowShown="0">
  <autoFilter ref="A1:D8" xr:uid="{42F05212-5059-475B-9482-A736B9851520}"/>
  <tableColumns count="4">
    <tableColumn id="1" xr3:uid="{3645C4D0-D367-403E-805F-6E7A8347C7E4}" name="Ocupación"/>
    <tableColumn id="2" xr3:uid="{69AEC3DA-2B2B-44A9-A64A-55AEBD5073BC}" name="Hombres"/>
    <tableColumn id="3" xr3:uid="{EBAF3E32-7F60-447D-BC5F-944A7D662715}" name="Mujeres"/>
    <tableColumn id="4" xr3:uid="{4E4DA420-56E7-49EB-AC97-AB1A60778E70}" name="Total">
      <calculatedColumnFormula>SUM(B2:C2)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884385-4BBD-4C4F-ABF8-85B12E6BE2F8}" name="Tabla46" displayName="Tabla46" ref="A11:E18" totalsRowShown="0">
  <autoFilter ref="A11:E18" xr:uid="{6F884385-4BBD-4C4F-ABF8-85B12E6BE2F8}"/>
  <tableColumns count="5">
    <tableColumn id="1" xr3:uid="{986BEAE5-01AE-48A7-B40B-F9B5BAD74C18}" name="Ocupación"/>
    <tableColumn id="2" xr3:uid="{05B71E18-288E-45E3-ACE1-9F1D93A14018}" name="Hombres" dataDxfId="8"/>
    <tableColumn id="3" xr3:uid="{C5C8F2AB-3AA8-4715-8C64-5FC465A1E15D}" name="Mujeres" dataDxfId="7"/>
    <tableColumn id="4" xr3:uid="{23933BA2-28A7-4748-A4BE-463257B1E123}" name="Total" dataDxfId="6">
      <calculatedColumnFormula>SUM(B12:C12)</calculatedColumnFormula>
    </tableColumn>
    <tableColumn id="5" xr3:uid="{A5B0F747-8DCF-4463-BA64-CE42090957E1}" name="Acumulada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B0F5B1-474E-4717-B9B2-7587747D58DF}" name="Tabla6" displayName="Tabla6" ref="A1:E5" totalsRowShown="0">
  <autoFilter ref="A1:E5" xr:uid="{7DB0F5B1-474E-4717-B9B2-7587747D58DF}"/>
  <tableColumns count="5">
    <tableColumn id="1" xr3:uid="{7617D675-F6C1-4A4B-BF7E-1D3183A4A8F1}" name="Sector"/>
    <tableColumn id="2" xr3:uid="{F6469E6C-BC29-48C8-9E19-53B706298D3A}" name="P(sector)"/>
    <tableColumn id="3" xr3:uid="{7778DD8C-BFFC-4CD9-9E66-ECE9A41A5B15}" name="P(Mujeres/Sector)"/>
    <tableColumn id="4" xr3:uid="{4D784796-A079-45F8-96E8-1F9D7B3E251D}" name="P(Hombre/Sector)"/>
    <tableColumn id="5" xr3:uid="{E9C7B52A-461F-4680-84AC-39E3D0AE5E4A}" name="P(H/Sector)P(Sector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880F78-8C2F-427D-AD67-0CFB2370EA00}" name="Tabla7" displayName="Tabla7" ref="A1:D5" totalsRowShown="0">
  <autoFilter ref="A1:D5" xr:uid="{61880F78-8C2F-427D-AD67-0CFB2370EA00}"/>
  <tableColumns count="4">
    <tableColumn id="1" xr3:uid="{0D9CFBB7-9F40-48A9-B280-2144EBC65326}" name="Máquina"/>
    <tableColumn id="2" xr3:uid="{AE917440-64FF-45AF-A0CB-6DF97CF5504D}" name="Produce"/>
    <tableColumn id="3" xr3:uid="{8935E4C7-BFEF-4D3C-927A-8069C64D9C21}" name="P(D/Maq)"/>
    <tableColumn id="4" xr3:uid="{2DD56CD2-72C0-4B8F-B5B4-A821CE97EA60}" name="P(D/Maq)P(Maq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1564C0-33DB-4848-8FE2-7C6A4BD2F8B9}" name="Tabla8" displayName="Tabla8" ref="A1:E5" totalsRowShown="0">
  <autoFilter ref="A1:E5" xr:uid="{801564C0-33DB-4848-8FE2-7C6A4BD2F8B9}"/>
  <tableColumns count="5">
    <tableColumn id="1" xr3:uid="{594E75BB-27B6-4CF1-B753-B2C4A4C98A05}" name="Linea"/>
    <tableColumn id="2" xr3:uid="{147B7F4D-62B9-4176-AEF3-151AF6917E82}" name="P(L)"/>
    <tableColumn id="3" xr3:uid="{5BBC48DB-D41D-4FCB-8F7D-5FC48596A003}" name="P(H/L)"/>
    <tableColumn id="4" xr3:uid="{9C3E2B1F-6203-4E63-A0B4-E3AE956D29CC}" name="P(M/L)"/>
    <tableColumn id="5" xr3:uid="{0C8087EB-2DE5-4D9B-AC9C-D0EF037C68CD}" name="P(H/L)P(L)" dataDxfId="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77FF7F-E444-4F90-A1D0-663DD3DC4845}" name="Tabla9" displayName="Tabla9" ref="A1:D7" totalsRowShown="0">
  <autoFilter ref="A1:D7" xr:uid="{D977FF7F-E444-4F90-A1D0-663DD3DC4845}"/>
  <tableColumns count="4">
    <tableColumn id="1" xr3:uid="{398B39AA-E638-418E-8E6C-1398D2EC5546}" name="Columna1"/>
    <tableColumn id="2" xr3:uid="{40397206-4E56-43E4-A0F7-CA76827062D2}" name="Columna2"/>
    <tableColumn id="3" xr3:uid="{37BE680D-A6CE-4065-B9F0-92CF4C1DA670}" name="Columna3"/>
    <tableColumn id="4" xr3:uid="{C3424481-CE18-4AB2-8E65-0FBC0D4A765F}" name="Columna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867D5FC-758B-44F1-AA9B-CACE2A90E5F4}" name="Tabla10" displayName="Tabla10" ref="A1:F13" totalsRowShown="0">
  <autoFilter ref="A1:F13" xr:uid="{D867D5FC-758B-44F1-AA9B-CACE2A90E5F4}"/>
  <tableColumns count="6">
    <tableColumn id="1" xr3:uid="{8B89938D-AE52-4BD2-9350-6369BACB1BEC}" name="y"/>
    <tableColumn id="2" xr3:uid="{99B9A3C6-9279-4CE5-A7A0-003F3D5B9A73}" name="p(y)"/>
    <tableColumn id="3" xr3:uid="{0700EB11-B6BC-4305-9A25-3A70A54D1BC8}" name="y. p(y)=E(x)"/>
    <tableColumn id="4" xr3:uid="{C40B560F-4DA4-44B8-ACFB-B8CBCEC3D263}" name="(y-u)^2 " dataDxfId="3"/>
    <tableColumn id="5" xr3:uid="{AE97C2D1-183A-40A7-A19D-408EEBAFC415}" name="((y-u)^2 )p(y)" dataDxfId="2"/>
    <tableColumn id="6" xr3:uid="{387A6ED9-0EDF-4F4B-B668-516B8FB22645}" name="Columna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0B37241-BF33-4F33-83B6-64758BD7A7C0}" name="Tabla11" displayName="Tabla11" ref="A1:E9" totalsRowShown="0">
  <autoFilter ref="A1:E9" xr:uid="{10B37241-BF33-4F33-83B6-64758BD7A7C0}"/>
  <tableColumns count="5">
    <tableColumn id="1" xr3:uid="{AB84925A-D0CD-4188-BF0A-A4DAA0E6E267}" name="x"/>
    <tableColumn id="2" xr3:uid="{9B4A6545-9D73-488F-9902-B5164215EE94}" name="p(x)=FMP"/>
    <tableColumn id="3" xr3:uid="{09384793-54A7-4B48-B821-3C819C5DB7E3}" name="F(x)=FDA"/>
    <tableColumn id="4" xr3:uid="{9C80A192-154E-443B-A7A4-AC8B9724425F}" name="E(x)=p(x)x"/>
    <tableColumn id="5" xr3:uid="{A16BD711-A8B4-4987-9776-1A770399E0B9}" name="(x-u)^2p(x)" dataDxfId="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CF5400-BE8A-494D-A423-88911D7672D8}" name="Tabla12" displayName="Tabla12" ref="A1:F13" totalsRowShown="0">
  <autoFilter ref="A1:F13" xr:uid="{60CF5400-BE8A-494D-A423-88911D7672D8}"/>
  <tableColumns count="6">
    <tableColumn id="1" xr3:uid="{1FD79673-5EA8-4784-AC47-3FE89E1D1DE3}" name="x"/>
    <tableColumn id="2" xr3:uid="{674C2428-262C-4A1C-824B-051B68DF7AC8}" name="p(x)=FMP"/>
    <tableColumn id="3" xr3:uid="{FC3A91EA-9BB8-408B-B733-7790913ACE3A}" name="Vehículos"/>
    <tableColumn id="4" xr3:uid="{DEA232E8-A5D6-4456-8540-F99D5C72583E}" name="FDA=F(x)"/>
    <tableColumn id="5" xr3:uid="{A0810FE9-3A8F-4D0E-961D-523052288DC3}" name="p(x)x"/>
    <tableColumn id="6" xr3:uid="{F7790C87-0372-4BDB-A732-6171FE4E1ADD}" name="(x-u)^2p(x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D0ABC7-B8EB-48E4-B45A-8EB940C793BA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d1c41848-840a-4e47-8bb5-64cdf174198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AB5B-B63E-4536-B119-F86927C9ABD9}">
  <dimension ref="A1:G15"/>
  <sheetViews>
    <sheetView zoomScale="60" zoomScaleNormal="60" workbookViewId="0">
      <selection activeCell="T10" sqref="T10"/>
    </sheetView>
  </sheetViews>
  <sheetFormatPr baseColWidth="10" defaultRowHeight="15" x14ac:dyDescent="0.25"/>
  <cols>
    <col min="1" max="1" width="23.140625" bestFit="1" customWidth="1"/>
    <col min="2" max="2" width="14.5703125" bestFit="1" customWidth="1"/>
    <col min="3" max="3" width="20.42578125" bestFit="1" customWidth="1"/>
    <col min="4" max="4" width="13.42578125" bestFit="1" customWidth="1"/>
  </cols>
  <sheetData>
    <row r="1" spans="1:7" ht="42" customHeight="1" thickBot="1" x14ac:dyDescent="0.3">
      <c r="A1" s="3" t="s">
        <v>0</v>
      </c>
      <c r="B1" s="3" t="s">
        <v>1</v>
      </c>
      <c r="C1" s="5" t="s">
        <v>9</v>
      </c>
      <c r="D1" s="6" t="s">
        <v>10</v>
      </c>
      <c r="F1" s="9" t="s">
        <v>11</v>
      </c>
      <c r="G1" s="9" t="s">
        <v>12</v>
      </c>
    </row>
    <row r="2" spans="1:7" ht="15.75" thickBot="1" x14ac:dyDescent="0.3">
      <c r="A2" s="4" t="s">
        <v>3</v>
      </c>
      <c r="B2" s="4">
        <v>15</v>
      </c>
      <c r="C2" s="7">
        <f>+Tabla1[[#This Row],[Frecuencia]]/$B$8</f>
        <v>0.05</v>
      </c>
      <c r="D2" s="8">
        <f>Tabla1[[#This Row],[p(x)                                                         Frecuencia relativa]]</f>
        <v>0.05</v>
      </c>
      <c r="F2">
        <v>0</v>
      </c>
      <c r="G2">
        <v>0</v>
      </c>
    </row>
    <row r="3" spans="1:7" ht="15.75" thickBot="1" x14ac:dyDescent="0.3">
      <c r="A3" s="4" t="s">
        <v>4</v>
      </c>
      <c r="B3" s="4">
        <v>25</v>
      </c>
      <c r="C3" s="7">
        <f>+Tabla1[[#This Row],[Frecuencia]]/$B$8</f>
        <v>8.3333333333333329E-2</v>
      </c>
      <c r="D3" s="8">
        <f>+D2+Tabla1[[#This Row],[p(x)                                                         Frecuencia relativa]]</f>
        <v>0.13333333333333333</v>
      </c>
      <c r="F3">
        <v>4999</v>
      </c>
      <c r="G3">
        <v>0</v>
      </c>
    </row>
    <row r="4" spans="1:7" ht="15.75" thickBot="1" x14ac:dyDescent="0.3">
      <c r="A4" s="4" t="s">
        <v>5</v>
      </c>
      <c r="B4" s="4">
        <v>35</v>
      </c>
      <c r="C4" s="7">
        <f>+Tabla1[[#This Row],[Frecuencia]]/$B$8</f>
        <v>0.11666666666666667</v>
      </c>
      <c r="D4" s="8">
        <f>+D3+Tabla1[[#This Row],[p(x)                                                         Frecuencia relativa]]</f>
        <v>0.25</v>
      </c>
      <c r="F4">
        <v>4999</v>
      </c>
      <c r="G4">
        <v>0.05</v>
      </c>
    </row>
    <row r="5" spans="1:7" ht="15.75" thickBot="1" x14ac:dyDescent="0.3">
      <c r="A5" s="4" t="s">
        <v>6</v>
      </c>
      <c r="B5" s="4">
        <v>125</v>
      </c>
      <c r="C5" s="7">
        <f>+Tabla1[[#This Row],[Frecuencia]]/$B$8</f>
        <v>0.41666666666666669</v>
      </c>
      <c r="D5" s="8">
        <f>+D4+Tabla1[[#This Row],[p(x)                                                         Frecuencia relativa]]</f>
        <v>0.66666666666666674</v>
      </c>
      <c r="F5">
        <v>9999</v>
      </c>
      <c r="G5">
        <v>0.05</v>
      </c>
    </row>
    <row r="6" spans="1:7" ht="15.75" thickBot="1" x14ac:dyDescent="0.3">
      <c r="A6" s="4" t="s">
        <v>7</v>
      </c>
      <c r="B6" s="4">
        <v>70</v>
      </c>
      <c r="C6" s="7">
        <f>+Tabla1[[#This Row],[Frecuencia]]/$B$8</f>
        <v>0.23333333333333334</v>
      </c>
      <c r="D6" s="8">
        <f>+D5+Tabla1[[#This Row],[p(x)                                                         Frecuencia relativa]]</f>
        <v>0.90000000000000013</v>
      </c>
      <c r="F6">
        <v>9999</v>
      </c>
      <c r="G6">
        <f>D3</f>
        <v>0.13333333333333333</v>
      </c>
    </row>
    <row r="7" spans="1:7" ht="15.75" thickBot="1" x14ac:dyDescent="0.3">
      <c r="A7" s="4" t="s">
        <v>8</v>
      </c>
      <c r="B7" s="4">
        <v>30</v>
      </c>
      <c r="C7" s="7">
        <f>+Tabla1[[#This Row],[Frecuencia]]/$B$8</f>
        <v>0.1</v>
      </c>
      <c r="D7" s="8">
        <f>+D6+Tabla1[[#This Row],[p(x)                                                         Frecuencia relativa]]</f>
        <v>1.0000000000000002</v>
      </c>
      <c r="F7">
        <v>14999</v>
      </c>
      <c r="G7">
        <f>D3</f>
        <v>0.13333333333333333</v>
      </c>
    </row>
    <row r="8" spans="1:7" ht="15.75" thickBot="1" x14ac:dyDescent="0.3">
      <c r="A8" s="4" t="s">
        <v>2</v>
      </c>
      <c r="B8" s="4">
        <f>SUM(B2:B7)</f>
        <v>300</v>
      </c>
      <c r="C8" s="4">
        <f>SUM(C2:C7)</f>
        <v>1.0000000000000002</v>
      </c>
      <c r="D8" s="8"/>
      <c r="F8">
        <v>14999</v>
      </c>
      <c r="G8">
        <f>D4</f>
        <v>0.25</v>
      </c>
    </row>
    <row r="9" spans="1:7" x14ac:dyDescent="0.25">
      <c r="F9">
        <v>19999</v>
      </c>
      <c r="G9">
        <f>D4</f>
        <v>0.25</v>
      </c>
    </row>
    <row r="10" spans="1:7" x14ac:dyDescent="0.25">
      <c r="F10">
        <v>19999</v>
      </c>
      <c r="G10">
        <f>D5</f>
        <v>0.66666666666666674</v>
      </c>
    </row>
    <row r="11" spans="1:7" x14ac:dyDescent="0.25">
      <c r="F11">
        <v>24999</v>
      </c>
      <c r="G11">
        <f>D5</f>
        <v>0.66666666666666674</v>
      </c>
    </row>
    <row r="12" spans="1:7" x14ac:dyDescent="0.25">
      <c r="F12">
        <v>24999</v>
      </c>
      <c r="G12">
        <f>D6</f>
        <v>0.90000000000000013</v>
      </c>
    </row>
    <row r="13" spans="1:7" x14ac:dyDescent="0.25">
      <c r="F13">
        <v>30000</v>
      </c>
      <c r="G13">
        <f>D6</f>
        <v>0.90000000000000013</v>
      </c>
    </row>
    <row r="14" spans="1:7" x14ac:dyDescent="0.25">
      <c r="F14">
        <v>30000</v>
      </c>
      <c r="G14">
        <f>D7</f>
        <v>1.0000000000000002</v>
      </c>
    </row>
    <row r="15" spans="1:7" x14ac:dyDescent="0.25">
      <c r="F15">
        <v>35000</v>
      </c>
      <c r="G15">
        <f>D7</f>
        <v>1.0000000000000002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521D-7860-4921-8042-162457E46BA7}">
  <dimension ref="A1:Q52"/>
  <sheetViews>
    <sheetView topLeftCell="K1" workbookViewId="0">
      <selection activeCell="O15" sqref="O15"/>
    </sheetView>
  </sheetViews>
  <sheetFormatPr baseColWidth="10" defaultRowHeight="15" x14ac:dyDescent="0.25"/>
  <cols>
    <col min="1" max="1" width="12.42578125" bestFit="1" customWidth="1"/>
    <col min="9" max="9" width="8.85546875" bestFit="1" customWidth="1"/>
    <col min="10" max="10" width="20.7109375" bestFit="1" customWidth="1"/>
    <col min="11" max="11" width="15.140625" bestFit="1" customWidth="1"/>
    <col min="12" max="12" width="11.28515625" bestFit="1" customWidth="1"/>
  </cols>
  <sheetData>
    <row r="1" spans="1:17" x14ac:dyDescent="0.25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I1" s="9" t="s">
        <v>18</v>
      </c>
      <c r="J1" s="9" t="s">
        <v>21</v>
      </c>
      <c r="K1" s="9" t="s">
        <v>20</v>
      </c>
      <c r="L1" s="9" t="s">
        <v>22</v>
      </c>
      <c r="N1" s="9" t="s">
        <v>25</v>
      </c>
      <c r="O1" s="9" t="s">
        <v>26</v>
      </c>
      <c r="P1" s="9" t="s">
        <v>27</v>
      </c>
      <c r="Q1" s="9" t="s">
        <v>22</v>
      </c>
    </row>
    <row r="2" spans="1:17" x14ac:dyDescent="0.25">
      <c r="A2">
        <v>1</v>
      </c>
      <c r="B2" t="s">
        <v>23</v>
      </c>
      <c r="C2" t="s">
        <v>23</v>
      </c>
      <c r="D2" t="s">
        <v>23</v>
      </c>
      <c r="E2" t="s">
        <v>23</v>
      </c>
      <c r="F2">
        <v>4</v>
      </c>
      <c r="G2">
        <v>0</v>
      </c>
      <c r="I2">
        <v>0</v>
      </c>
      <c r="J2">
        <f>COUNTIF($F$2:$F$51,I2)</f>
        <v>4</v>
      </c>
      <c r="K2" s="1">
        <f>J2/$J$7</f>
        <v>0.08</v>
      </c>
      <c r="L2" s="1">
        <f>_xlfn.BINOM.DIST(I2,4,0.5,FALSE)</f>
        <v>6.25E-2</v>
      </c>
      <c r="N2">
        <v>0</v>
      </c>
      <c r="O2" s="2" t="s">
        <v>28</v>
      </c>
      <c r="P2" s="2">
        <f>COMBIN(4,N2)</f>
        <v>1</v>
      </c>
      <c r="Q2" s="12">
        <f>P2/16</f>
        <v>6.25E-2</v>
      </c>
    </row>
    <row r="3" spans="1:17" x14ac:dyDescent="0.25">
      <c r="A3">
        <v>2</v>
      </c>
      <c r="B3" t="s">
        <v>24</v>
      </c>
      <c r="C3" t="s">
        <v>24</v>
      </c>
      <c r="D3" t="s">
        <v>24</v>
      </c>
      <c r="E3" t="s">
        <v>23</v>
      </c>
      <c r="F3">
        <v>1</v>
      </c>
      <c r="G3">
        <v>3</v>
      </c>
      <c r="I3">
        <v>1</v>
      </c>
      <c r="J3">
        <f>COUNTIF($F$2:$F$51,I3)</f>
        <v>18</v>
      </c>
      <c r="K3" s="1">
        <f>J3/$J$7</f>
        <v>0.36</v>
      </c>
      <c r="L3" s="1">
        <f>_xlfn.BINOM.DIST(I3,4,0.5,FALSE)</f>
        <v>0.24999999999999994</v>
      </c>
      <c r="N3">
        <v>1</v>
      </c>
      <c r="O3" s="2" t="s">
        <v>29</v>
      </c>
      <c r="P3" s="2">
        <f>COMBIN(4,N3)</f>
        <v>4</v>
      </c>
      <c r="Q3" s="12">
        <f>P3/16</f>
        <v>0.25</v>
      </c>
    </row>
    <row r="4" spans="1:17" x14ac:dyDescent="0.25">
      <c r="A4">
        <v>3</v>
      </c>
      <c r="B4" t="s">
        <v>24</v>
      </c>
      <c r="C4" t="s">
        <v>23</v>
      </c>
      <c r="D4" t="s">
        <v>24</v>
      </c>
      <c r="E4" t="s">
        <v>23</v>
      </c>
      <c r="F4">
        <v>2</v>
      </c>
      <c r="G4">
        <v>2</v>
      </c>
      <c r="I4">
        <v>2</v>
      </c>
      <c r="J4">
        <f>COUNTIF($F$2:$F$51,I4)</f>
        <v>12</v>
      </c>
      <c r="K4" s="1">
        <f>J4/$J$7</f>
        <v>0.24</v>
      </c>
      <c r="L4" s="1">
        <f>_xlfn.BINOM.DIST(I4,4,0.5,FALSE)</f>
        <v>0.375</v>
      </c>
      <c r="N4">
        <v>2</v>
      </c>
      <c r="O4" s="2" t="s">
        <v>30</v>
      </c>
      <c r="P4" s="2">
        <f>COMBIN(4,N4)</f>
        <v>6</v>
      </c>
      <c r="Q4" s="12">
        <f>P4/16</f>
        <v>0.375</v>
      </c>
    </row>
    <row r="5" spans="1:17" x14ac:dyDescent="0.25">
      <c r="A5">
        <v>4</v>
      </c>
      <c r="B5" t="s">
        <v>23</v>
      </c>
      <c r="C5" t="s">
        <v>23</v>
      </c>
      <c r="D5" t="s">
        <v>24</v>
      </c>
      <c r="E5" t="s">
        <v>23</v>
      </c>
      <c r="F5">
        <v>3</v>
      </c>
      <c r="G5">
        <v>1</v>
      </c>
      <c r="I5">
        <v>3</v>
      </c>
      <c r="J5">
        <f>COUNTIF($F$2:$F$51,I5)</f>
        <v>13</v>
      </c>
      <c r="K5" s="1">
        <f>J5/$J$7</f>
        <v>0.26</v>
      </c>
      <c r="L5" s="1">
        <f>_xlfn.BINOM.DIST(I5,4,0.5,FALSE)</f>
        <v>0.25</v>
      </c>
      <c r="N5">
        <v>3</v>
      </c>
      <c r="O5" s="2" t="s">
        <v>31</v>
      </c>
      <c r="P5" s="2">
        <f>COMBIN(4,N5)</f>
        <v>4</v>
      </c>
      <c r="Q5" s="12">
        <f>P5/16</f>
        <v>0.25</v>
      </c>
    </row>
    <row r="6" spans="1:17" x14ac:dyDescent="0.25">
      <c r="A6">
        <v>5</v>
      </c>
      <c r="B6" t="s">
        <v>23</v>
      </c>
      <c r="C6" t="s">
        <v>24</v>
      </c>
      <c r="D6" t="s">
        <v>24</v>
      </c>
      <c r="E6" t="s">
        <v>24</v>
      </c>
      <c r="F6">
        <v>1</v>
      </c>
      <c r="G6">
        <v>3</v>
      </c>
      <c r="I6">
        <v>4</v>
      </c>
      <c r="J6">
        <f>COUNTIF($F$2:$F$51,I6)</f>
        <v>3</v>
      </c>
      <c r="K6" s="1">
        <f>J6/$J$7</f>
        <v>0.06</v>
      </c>
      <c r="L6" s="1">
        <f>_xlfn.BINOM.DIST(I6,4,0.5,FALSE)</f>
        <v>6.25E-2</v>
      </c>
      <c r="N6">
        <v>4</v>
      </c>
      <c r="O6" s="2" t="s">
        <v>32</v>
      </c>
      <c r="P6" s="2">
        <f>COMBIN(4,N6)</f>
        <v>1</v>
      </c>
      <c r="Q6" s="12">
        <f>P6/16</f>
        <v>6.25E-2</v>
      </c>
    </row>
    <row r="7" spans="1:17" x14ac:dyDescent="0.25">
      <c r="A7">
        <v>6</v>
      </c>
      <c r="B7" t="s">
        <v>23</v>
      </c>
      <c r="C7" t="s">
        <v>23</v>
      </c>
      <c r="D7" t="s">
        <v>23</v>
      </c>
      <c r="E7" t="s">
        <v>23</v>
      </c>
      <c r="F7">
        <v>4</v>
      </c>
      <c r="G7">
        <v>0</v>
      </c>
      <c r="I7" s="10" t="s">
        <v>2</v>
      </c>
      <c r="J7" s="10">
        <f>SUM(J2:J6)</f>
        <v>50</v>
      </c>
      <c r="K7" s="11">
        <f>SUM(K2:K6)</f>
        <v>1</v>
      </c>
      <c r="L7" s="11">
        <f>SUM(L2:L6)</f>
        <v>1</v>
      </c>
    </row>
    <row r="8" spans="1:17" x14ac:dyDescent="0.25">
      <c r="A8">
        <v>7</v>
      </c>
      <c r="B8" t="s">
        <v>23</v>
      </c>
      <c r="C8" t="s">
        <v>23</v>
      </c>
      <c r="D8" t="s">
        <v>23</v>
      </c>
      <c r="E8" t="s">
        <v>24</v>
      </c>
      <c r="F8">
        <v>3</v>
      </c>
      <c r="G8">
        <v>1</v>
      </c>
    </row>
    <row r="9" spans="1:17" x14ac:dyDescent="0.25">
      <c r="A9">
        <v>8</v>
      </c>
      <c r="B9" t="s">
        <v>23</v>
      </c>
      <c r="C9" t="s">
        <v>24</v>
      </c>
      <c r="D9" t="s">
        <v>23</v>
      </c>
      <c r="E9" t="s">
        <v>23</v>
      </c>
      <c r="F9">
        <v>3</v>
      </c>
      <c r="G9">
        <v>1</v>
      </c>
    </row>
    <row r="10" spans="1:17" x14ac:dyDescent="0.25">
      <c r="A10">
        <v>9</v>
      </c>
      <c r="B10" t="s">
        <v>23</v>
      </c>
      <c r="C10" t="s">
        <v>23</v>
      </c>
      <c r="D10" t="s">
        <v>24</v>
      </c>
      <c r="E10" t="s">
        <v>23</v>
      </c>
      <c r="F10">
        <v>3</v>
      </c>
      <c r="G10">
        <v>1</v>
      </c>
    </row>
    <row r="11" spans="1:17" x14ac:dyDescent="0.25">
      <c r="A11">
        <v>10</v>
      </c>
      <c r="B11" t="s">
        <v>23</v>
      </c>
      <c r="C11" t="s">
        <v>23</v>
      </c>
      <c r="D11" t="s">
        <v>23</v>
      </c>
      <c r="E11" t="s">
        <v>24</v>
      </c>
      <c r="F11">
        <v>3</v>
      </c>
      <c r="G11">
        <v>1</v>
      </c>
    </row>
    <row r="12" spans="1:17" x14ac:dyDescent="0.25">
      <c r="A12">
        <v>11</v>
      </c>
      <c r="B12" t="s">
        <v>23</v>
      </c>
      <c r="C12" t="s">
        <v>23</v>
      </c>
      <c r="D12" t="s">
        <v>23</v>
      </c>
      <c r="E12" t="s">
        <v>24</v>
      </c>
      <c r="F12">
        <v>3</v>
      </c>
      <c r="G12">
        <v>1</v>
      </c>
    </row>
    <row r="13" spans="1:17" x14ac:dyDescent="0.25">
      <c r="A13">
        <v>12</v>
      </c>
      <c r="B13" t="s">
        <v>24</v>
      </c>
      <c r="C13" t="s">
        <v>23</v>
      </c>
      <c r="D13" t="s">
        <v>24</v>
      </c>
      <c r="E13" t="s">
        <v>24</v>
      </c>
      <c r="F13">
        <v>1</v>
      </c>
      <c r="G13">
        <v>3</v>
      </c>
    </row>
    <row r="14" spans="1:17" x14ac:dyDescent="0.25">
      <c r="A14">
        <v>13</v>
      </c>
      <c r="B14" t="s">
        <v>24</v>
      </c>
      <c r="C14" t="s">
        <v>24</v>
      </c>
      <c r="D14" t="s">
        <v>24</v>
      </c>
      <c r="E14" t="s">
        <v>24</v>
      </c>
      <c r="F14">
        <v>0</v>
      </c>
      <c r="G14">
        <v>4</v>
      </c>
    </row>
    <row r="15" spans="1:17" x14ac:dyDescent="0.25">
      <c r="A15">
        <v>14</v>
      </c>
      <c r="B15" t="s">
        <v>24</v>
      </c>
      <c r="C15" t="s">
        <v>24</v>
      </c>
      <c r="D15" t="s">
        <v>23</v>
      </c>
      <c r="E15" t="s">
        <v>23</v>
      </c>
      <c r="F15">
        <v>2</v>
      </c>
      <c r="G15">
        <v>2</v>
      </c>
    </row>
    <row r="16" spans="1:17" x14ac:dyDescent="0.25">
      <c r="A16">
        <v>15</v>
      </c>
      <c r="B16" t="s">
        <v>24</v>
      </c>
      <c r="C16" t="s">
        <v>23</v>
      </c>
      <c r="D16" t="s">
        <v>23</v>
      </c>
      <c r="E16" t="s">
        <v>23</v>
      </c>
      <c r="F16">
        <v>3</v>
      </c>
      <c r="G16">
        <v>1</v>
      </c>
    </row>
    <row r="17" spans="1:7" x14ac:dyDescent="0.25">
      <c r="A17">
        <v>16</v>
      </c>
      <c r="B17" t="s">
        <v>23</v>
      </c>
      <c r="C17" t="s">
        <v>23</v>
      </c>
      <c r="D17" t="s">
        <v>23</v>
      </c>
      <c r="E17" t="s">
        <v>24</v>
      </c>
      <c r="F17">
        <v>3</v>
      </c>
      <c r="G17">
        <v>1</v>
      </c>
    </row>
    <row r="18" spans="1:7" x14ac:dyDescent="0.25">
      <c r="A18">
        <v>17</v>
      </c>
      <c r="B18" t="s">
        <v>23</v>
      </c>
      <c r="C18" t="s">
        <v>24</v>
      </c>
      <c r="D18" t="s">
        <v>24</v>
      </c>
      <c r="E18" t="s">
        <v>24</v>
      </c>
      <c r="F18">
        <v>1</v>
      </c>
      <c r="G18">
        <v>3</v>
      </c>
    </row>
    <row r="19" spans="1:7" x14ac:dyDescent="0.25">
      <c r="A19">
        <v>18</v>
      </c>
      <c r="B19" t="s">
        <v>24</v>
      </c>
      <c r="C19" t="s">
        <v>23</v>
      </c>
      <c r="D19" t="s">
        <v>23</v>
      </c>
      <c r="E19" t="s">
        <v>24</v>
      </c>
      <c r="F19">
        <v>2</v>
      </c>
      <c r="G19">
        <v>2</v>
      </c>
    </row>
    <row r="20" spans="1:7" x14ac:dyDescent="0.25">
      <c r="A20">
        <v>19</v>
      </c>
      <c r="B20" t="s">
        <v>24</v>
      </c>
      <c r="C20" t="s">
        <v>24</v>
      </c>
      <c r="D20" t="s">
        <v>24</v>
      </c>
      <c r="E20" t="s">
        <v>23</v>
      </c>
      <c r="F20">
        <v>1</v>
      </c>
      <c r="G20">
        <v>3</v>
      </c>
    </row>
    <row r="21" spans="1:7" x14ac:dyDescent="0.25">
      <c r="A21">
        <v>20</v>
      </c>
      <c r="B21" t="s">
        <v>24</v>
      </c>
      <c r="C21" t="s">
        <v>24</v>
      </c>
      <c r="D21" t="s">
        <v>23</v>
      </c>
      <c r="E21" t="s">
        <v>24</v>
      </c>
      <c r="F21">
        <v>1</v>
      </c>
      <c r="G21">
        <v>3</v>
      </c>
    </row>
    <row r="22" spans="1:7" x14ac:dyDescent="0.25">
      <c r="A22">
        <v>21</v>
      </c>
      <c r="B22" t="s">
        <v>24</v>
      </c>
      <c r="C22" t="s">
        <v>23</v>
      </c>
      <c r="D22" t="s">
        <v>23</v>
      </c>
      <c r="E22" t="s">
        <v>23</v>
      </c>
      <c r="F22">
        <v>3</v>
      </c>
      <c r="G22">
        <v>1</v>
      </c>
    </row>
    <row r="23" spans="1:7" x14ac:dyDescent="0.25">
      <c r="A23">
        <v>22</v>
      </c>
      <c r="B23" t="s">
        <v>24</v>
      </c>
      <c r="C23" t="s">
        <v>24</v>
      </c>
      <c r="D23" t="s">
        <v>23</v>
      </c>
      <c r="E23" t="s">
        <v>24</v>
      </c>
      <c r="F23">
        <v>1</v>
      </c>
      <c r="G23">
        <v>3</v>
      </c>
    </row>
    <row r="24" spans="1:7" x14ac:dyDescent="0.25">
      <c r="A24">
        <v>23</v>
      </c>
      <c r="B24" t="s">
        <v>24</v>
      </c>
      <c r="C24" t="s">
        <v>23</v>
      </c>
      <c r="D24" t="s">
        <v>24</v>
      </c>
      <c r="E24" t="s">
        <v>24</v>
      </c>
      <c r="F24">
        <v>1</v>
      </c>
      <c r="G24">
        <v>3</v>
      </c>
    </row>
    <row r="25" spans="1:7" x14ac:dyDescent="0.25">
      <c r="A25">
        <v>24</v>
      </c>
      <c r="B25" t="s">
        <v>24</v>
      </c>
      <c r="C25" t="s">
        <v>24</v>
      </c>
      <c r="D25" t="s">
        <v>24</v>
      </c>
      <c r="E25" t="s">
        <v>24</v>
      </c>
      <c r="F25">
        <v>0</v>
      </c>
      <c r="G25">
        <v>4</v>
      </c>
    </row>
    <row r="26" spans="1:7" x14ac:dyDescent="0.25">
      <c r="A26">
        <v>25</v>
      </c>
      <c r="B26" t="s">
        <v>23</v>
      </c>
      <c r="C26" t="s">
        <v>23</v>
      </c>
      <c r="D26" t="s">
        <v>23</v>
      </c>
      <c r="E26" t="s">
        <v>24</v>
      </c>
      <c r="F26">
        <v>3</v>
      </c>
      <c r="G26">
        <v>1</v>
      </c>
    </row>
    <row r="27" spans="1:7" x14ac:dyDescent="0.25">
      <c r="A27">
        <v>26</v>
      </c>
      <c r="B27" t="s">
        <v>24</v>
      </c>
      <c r="C27" t="s">
        <v>23</v>
      </c>
      <c r="D27" t="s">
        <v>23</v>
      </c>
      <c r="E27" t="s">
        <v>24</v>
      </c>
      <c r="F27">
        <v>2</v>
      </c>
      <c r="G27">
        <v>2</v>
      </c>
    </row>
    <row r="28" spans="1:7" x14ac:dyDescent="0.25">
      <c r="A28">
        <v>27</v>
      </c>
      <c r="B28" t="s">
        <v>24</v>
      </c>
      <c r="C28" t="s">
        <v>24</v>
      </c>
      <c r="D28" t="s">
        <v>24</v>
      </c>
      <c r="E28" t="s">
        <v>23</v>
      </c>
      <c r="F28">
        <v>1</v>
      </c>
      <c r="G28">
        <v>3</v>
      </c>
    </row>
    <row r="29" spans="1:7" x14ac:dyDescent="0.25">
      <c r="A29">
        <v>28</v>
      </c>
      <c r="B29" t="s">
        <v>24</v>
      </c>
      <c r="C29" t="s">
        <v>24</v>
      </c>
      <c r="D29" t="s">
        <v>23</v>
      </c>
      <c r="E29" t="s">
        <v>24</v>
      </c>
      <c r="F29">
        <v>1</v>
      </c>
      <c r="G29">
        <v>3</v>
      </c>
    </row>
    <row r="30" spans="1:7" x14ac:dyDescent="0.25">
      <c r="A30">
        <v>29</v>
      </c>
      <c r="B30" t="s">
        <v>24</v>
      </c>
      <c r="C30" t="s">
        <v>23</v>
      </c>
      <c r="D30" t="s">
        <v>24</v>
      </c>
      <c r="E30" t="s">
        <v>24</v>
      </c>
      <c r="F30">
        <v>1</v>
      </c>
      <c r="G30">
        <v>3</v>
      </c>
    </row>
    <row r="31" spans="1:7" x14ac:dyDescent="0.25">
      <c r="A31">
        <v>30</v>
      </c>
      <c r="B31" t="s">
        <v>24</v>
      </c>
      <c r="C31" t="s">
        <v>24</v>
      </c>
      <c r="D31" t="s">
        <v>23</v>
      </c>
      <c r="E31" t="s">
        <v>23</v>
      </c>
      <c r="F31">
        <v>2</v>
      </c>
      <c r="G31">
        <v>2</v>
      </c>
    </row>
    <row r="32" spans="1:7" x14ac:dyDescent="0.25">
      <c r="A32">
        <v>31</v>
      </c>
      <c r="B32" t="s">
        <v>24</v>
      </c>
      <c r="C32" t="s">
        <v>24</v>
      </c>
      <c r="D32" t="s">
        <v>24</v>
      </c>
      <c r="E32" t="s">
        <v>23</v>
      </c>
      <c r="F32">
        <v>1</v>
      </c>
      <c r="G32">
        <v>3</v>
      </c>
    </row>
    <row r="33" spans="1:7" x14ac:dyDescent="0.25">
      <c r="A33">
        <v>32</v>
      </c>
      <c r="B33" t="s">
        <v>24</v>
      </c>
      <c r="C33" t="s">
        <v>24</v>
      </c>
      <c r="D33" t="s">
        <v>24</v>
      </c>
      <c r="E33" t="s">
        <v>24</v>
      </c>
      <c r="F33">
        <v>0</v>
      </c>
      <c r="G33">
        <v>4</v>
      </c>
    </row>
    <row r="34" spans="1:7" x14ac:dyDescent="0.25">
      <c r="A34">
        <v>33</v>
      </c>
      <c r="B34" t="s">
        <v>23</v>
      </c>
      <c r="C34" t="s">
        <v>23</v>
      </c>
      <c r="D34" t="s">
        <v>24</v>
      </c>
      <c r="E34" t="s">
        <v>23</v>
      </c>
      <c r="F34">
        <v>3</v>
      </c>
      <c r="G34">
        <v>1</v>
      </c>
    </row>
    <row r="35" spans="1:7" x14ac:dyDescent="0.25">
      <c r="A35">
        <v>34</v>
      </c>
      <c r="B35" t="s">
        <v>24</v>
      </c>
      <c r="C35" t="s">
        <v>23</v>
      </c>
      <c r="D35" t="s">
        <v>24</v>
      </c>
      <c r="E35" t="s">
        <v>24</v>
      </c>
      <c r="F35">
        <v>1</v>
      </c>
      <c r="G35">
        <v>3</v>
      </c>
    </row>
    <row r="36" spans="1:7" x14ac:dyDescent="0.25">
      <c r="A36">
        <v>35</v>
      </c>
      <c r="B36" t="s">
        <v>23</v>
      </c>
      <c r="C36" t="s">
        <v>24</v>
      </c>
      <c r="D36" t="s">
        <v>24</v>
      </c>
      <c r="E36" t="s">
        <v>23</v>
      </c>
      <c r="F36">
        <v>2</v>
      </c>
      <c r="G36">
        <v>2</v>
      </c>
    </row>
    <row r="37" spans="1:7" x14ac:dyDescent="0.25">
      <c r="A37">
        <v>36</v>
      </c>
      <c r="B37" t="s">
        <v>23</v>
      </c>
      <c r="C37" t="s">
        <v>24</v>
      </c>
      <c r="D37" t="s">
        <v>24</v>
      </c>
      <c r="E37" t="s">
        <v>23</v>
      </c>
      <c r="F37">
        <v>2</v>
      </c>
      <c r="G37">
        <v>2</v>
      </c>
    </row>
    <row r="38" spans="1:7" x14ac:dyDescent="0.25">
      <c r="A38">
        <v>37</v>
      </c>
      <c r="B38" t="s">
        <v>24</v>
      </c>
      <c r="C38" t="s">
        <v>24</v>
      </c>
      <c r="D38" t="s">
        <v>23</v>
      </c>
      <c r="E38" t="s">
        <v>23</v>
      </c>
      <c r="F38">
        <v>2</v>
      </c>
      <c r="G38">
        <v>2</v>
      </c>
    </row>
    <row r="39" spans="1:7" x14ac:dyDescent="0.25">
      <c r="A39">
        <v>38</v>
      </c>
      <c r="B39" t="s">
        <v>23</v>
      </c>
      <c r="C39" t="s">
        <v>23</v>
      </c>
      <c r="D39" t="s">
        <v>23</v>
      </c>
      <c r="E39" t="s">
        <v>23</v>
      </c>
      <c r="F39">
        <v>4</v>
      </c>
      <c r="G39">
        <v>0</v>
      </c>
    </row>
    <row r="40" spans="1:7" x14ac:dyDescent="0.25">
      <c r="A40">
        <v>39</v>
      </c>
      <c r="B40" t="s">
        <v>24</v>
      </c>
      <c r="C40" t="s">
        <v>23</v>
      </c>
      <c r="D40" t="s">
        <v>24</v>
      </c>
      <c r="E40" t="s">
        <v>24</v>
      </c>
      <c r="F40">
        <v>1</v>
      </c>
      <c r="G40">
        <v>3</v>
      </c>
    </row>
    <row r="41" spans="1:7" x14ac:dyDescent="0.25">
      <c r="A41">
        <v>40</v>
      </c>
      <c r="B41" t="s">
        <v>23</v>
      </c>
      <c r="C41" t="s">
        <v>24</v>
      </c>
      <c r="D41" t="s">
        <v>24</v>
      </c>
      <c r="E41" t="s">
        <v>23</v>
      </c>
      <c r="F41">
        <v>2</v>
      </c>
      <c r="G41">
        <v>2</v>
      </c>
    </row>
    <row r="42" spans="1:7" x14ac:dyDescent="0.25">
      <c r="A42">
        <v>41</v>
      </c>
      <c r="B42" t="s">
        <v>24</v>
      </c>
      <c r="C42" t="s">
        <v>23</v>
      </c>
      <c r="D42" t="s">
        <v>24</v>
      </c>
      <c r="E42" t="s">
        <v>23</v>
      </c>
      <c r="F42">
        <v>2</v>
      </c>
      <c r="G42">
        <v>2</v>
      </c>
    </row>
    <row r="43" spans="1:7" x14ac:dyDescent="0.25">
      <c r="A43">
        <v>42</v>
      </c>
      <c r="B43" t="s">
        <v>24</v>
      </c>
      <c r="C43" t="s">
        <v>24</v>
      </c>
      <c r="D43" t="s">
        <v>24</v>
      </c>
      <c r="E43" t="s">
        <v>23</v>
      </c>
      <c r="F43">
        <v>1</v>
      </c>
      <c r="G43">
        <v>3</v>
      </c>
    </row>
    <row r="44" spans="1:7" x14ac:dyDescent="0.25">
      <c r="A44">
        <v>43</v>
      </c>
      <c r="B44" t="s">
        <v>24</v>
      </c>
      <c r="C44" t="s">
        <v>23</v>
      </c>
      <c r="D44" t="s">
        <v>23</v>
      </c>
      <c r="E44" t="s">
        <v>23</v>
      </c>
      <c r="F44">
        <v>3</v>
      </c>
      <c r="G44">
        <v>1</v>
      </c>
    </row>
    <row r="45" spans="1:7" x14ac:dyDescent="0.25">
      <c r="A45">
        <v>44</v>
      </c>
      <c r="B45" t="s">
        <v>24</v>
      </c>
      <c r="C45" t="s">
        <v>24</v>
      </c>
      <c r="D45" t="s">
        <v>24</v>
      </c>
      <c r="E45" t="s">
        <v>24</v>
      </c>
      <c r="F45">
        <v>0</v>
      </c>
      <c r="G45">
        <v>4</v>
      </c>
    </row>
    <row r="46" spans="1:7" x14ac:dyDescent="0.25">
      <c r="A46">
        <v>45</v>
      </c>
      <c r="B46" t="s">
        <v>24</v>
      </c>
      <c r="C46" t="s">
        <v>24</v>
      </c>
      <c r="D46" t="s">
        <v>24</v>
      </c>
      <c r="E46" t="s">
        <v>23</v>
      </c>
      <c r="F46">
        <v>1</v>
      </c>
      <c r="G46">
        <v>3</v>
      </c>
    </row>
    <row r="47" spans="1:7" x14ac:dyDescent="0.25">
      <c r="A47">
        <v>46</v>
      </c>
      <c r="B47" t="s">
        <v>24</v>
      </c>
      <c r="C47" t="s">
        <v>23</v>
      </c>
      <c r="D47" t="s">
        <v>23</v>
      </c>
      <c r="E47" t="s">
        <v>23</v>
      </c>
      <c r="F47">
        <v>3</v>
      </c>
      <c r="G47">
        <v>1</v>
      </c>
    </row>
    <row r="48" spans="1:7" x14ac:dyDescent="0.25">
      <c r="A48">
        <v>47</v>
      </c>
      <c r="B48" t="s">
        <v>24</v>
      </c>
      <c r="C48" t="s">
        <v>23</v>
      </c>
      <c r="D48" t="s">
        <v>24</v>
      </c>
      <c r="E48" t="s">
        <v>24</v>
      </c>
      <c r="F48">
        <v>1</v>
      </c>
      <c r="G48">
        <v>3</v>
      </c>
    </row>
    <row r="49" spans="1:7" x14ac:dyDescent="0.25">
      <c r="A49">
        <v>48</v>
      </c>
      <c r="B49" t="s">
        <v>23</v>
      </c>
      <c r="C49" t="s">
        <v>24</v>
      </c>
      <c r="D49" t="s">
        <v>24</v>
      </c>
      <c r="E49" t="s">
        <v>24</v>
      </c>
      <c r="F49">
        <v>1</v>
      </c>
      <c r="G49">
        <v>3</v>
      </c>
    </row>
    <row r="50" spans="1:7" x14ac:dyDescent="0.25">
      <c r="A50">
        <v>49</v>
      </c>
      <c r="B50" t="s">
        <v>23</v>
      </c>
      <c r="C50" t="s">
        <v>23</v>
      </c>
      <c r="D50" t="s">
        <v>24</v>
      </c>
      <c r="E50" t="s">
        <v>24</v>
      </c>
      <c r="F50">
        <v>2</v>
      </c>
      <c r="G50">
        <v>2</v>
      </c>
    </row>
    <row r="51" spans="1:7" x14ac:dyDescent="0.25">
      <c r="A51">
        <v>50</v>
      </c>
      <c r="B51" t="s">
        <v>23</v>
      </c>
      <c r="C51" t="s">
        <v>24</v>
      </c>
      <c r="D51" t="s">
        <v>23</v>
      </c>
      <c r="E51" t="s">
        <v>24</v>
      </c>
      <c r="F51">
        <v>2</v>
      </c>
      <c r="G51">
        <v>2</v>
      </c>
    </row>
    <row r="52" spans="1:7" x14ac:dyDescent="0.25">
      <c r="A52" s="10" t="s">
        <v>2</v>
      </c>
      <c r="F52" s="10">
        <f>SUM(F2:F51)</f>
        <v>93</v>
      </c>
      <c r="G52" s="10">
        <f>SUM(G2:G51)</f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8396-CA82-4D26-8674-0F962ECD379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23FC-378A-4515-AEF4-113E2EB9BA76}">
  <dimension ref="A1:G8"/>
  <sheetViews>
    <sheetView workbookViewId="0">
      <selection sqref="A1:G8"/>
    </sheetView>
  </sheetViews>
  <sheetFormatPr baseColWidth="10" defaultRowHeight="15" x14ac:dyDescent="0.25"/>
  <cols>
    <col min="1" max="1" width="5.42578125" bestFit="1" customWidth="1"/>
    <col min="2" max="2" width="6.140625" bestFit="1" customWidth="1"/>
    <col min="3" max="3" width="7.140625" bestFit="1" customWidth="1"/>
    <col min="4" max="4" width="8.140625" bestFit="1" customWidth="1"/>
    <col min="5" max="5" width="9.140625" bestFit="1" customWidth="1"/>
    <col min="6" max="6" width="28.42578125" bestFit="1" customWidth="1"/>
    <col min="7" max="7" width="19.140625" bestFit="1" customWidth="1"/>
  </cols>
  <sheetData>
    <row r="1" spans="1:7" x14ac:dyDescent="0.25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 t="s">
        <v>38</v>
      </c>
      <c r="G1" s="15" t="s">
        <v>39</v>
      </c>
    </row>
    <row r="2" spans="1:7" x14ac:dyDescent="0.25">
      <c r="A2" s="13">
        <v>1</v>
      </c>
      <c r="B2" s="16">
        <v>13</v>
      </c>
      <c r="C2" s="16">
        <v>170</v>
      </c>
      <c r="D2" s="16">
        <v>1609</v>
      </c>
      <c r="E2" s="16">
        <v>16815</v>
      </c>
      <c r="F2" s="18">
        <v>0.16814999999999999</v>
      </c>
      <c r="G2" s="18">
        <v>0.16669999999999999</v>
      </c>
    </row>
    <row r="3" spans="1:7" x14ac:dyDescent="0.25">
      <c r="A3" s="13">
        <v>2</v>
      </c>
      <c r="B3" s="16">
        <v>14</v>
      </c>
      <c r="C3" s="16">
        <v>183</v>
      </c>
      <c r="D3" s="16">
        <v>1710</v>
      </c>
      <c r="E3" s="16">
        <v>16512</v>
      </c>
      <c r="F3" s="18">
        <v>0.16511999999999999</v>
      </c>
      <c r="G3" s="18">
        <v>0.16669999999999999</v>
      </c>
    </row>
    <row r="4" spans="1:7" x14ac:dyDescent="0.25">
      <c r="A4" s="13">
        <v>3</v>
      </c>
      <c r="B4" s="16">
        <v>16</v>
      </c>
      <c r="C4" s="16">
        <v>190</v>
      </c>
      <c r="D4" s="16">
        <v>1623</v>
      </c>
      <c r="E4" s="16">
        <v>16737</v>
      </c>
      <c r="F4" s="18">
        <v>0.16736999999999999</v>
      </c>
      <c r="G4" s="18">
        <v>0.16669999999999999</v>
      </c>
    </row>
    <row r="5" spans="1:7" x14ac:dyDescent="0.25">
      <c r="A5" s="13">
        <v>4</v>
      </c>
      <c r="B5" s="16">
        <v>20</v>
      </c>
      <c r="C5" s="16">
        <v>139</v>
      </c>
      <c r="D5" s="16">
        <v>1716</v>
      </c>
      <c r="E5" s="16">
        <v>16483</v>
      </c>
      <c r="F5" s="18">
        <v>0.16483</v>
      </c>
      <c r="G5" s="18">
        <v>0.16669999999999999</v>
      </c>
    </row>
    <row r="6" spans="1:7" x14ac:dyDescent="0.25">
      <c r="A6" s="13">
        <v>5</v>
      </c>
      <c r="B6" s="16">
        <v>16</v>
      </c>
      <c r="C6" s="16">
        <v>144</v>
      </c>
      <c r="D6" s="16">
        <v>1710</v>
      </c>
      <c r="E6" s="16">
        <v>16684</v>
      </c>
      <c r="F6" s="18">
        <v>0.16683999999999999</v>
      </c>
      <c r="G6" s="18">
        <v>0.16669999999999999</v>
      </c>
    </row>
    <row r="7" spans="1:7" x14ac:dyDescent="0.25">
      <c r="A7" s="13">
        <v>6</v>
      </c>
      <c r="B7" s="16">
        <v>21</v>
      </c>
      <c r="C7" s="16">
        <v>174</v>
      </c>
      <c r="D7" s="16">
        <v>1632</v>
      </c>
      <c r="E7" s="16">
        <v>16769</v>
      </c>
      <c r="F7" s="18">
        <v>0.16769000000000001</v>
      </c>
      <c r="G7" s="18">
        <v>0.16669999999999999</v>
      </c>
    </row>
    <row r="8" spans="1:7" x14ac:dyDescent="0.25">
      <c r="A8" s="14" t="s">
        <v>40</v>
      </c>
      <c r="B8" s="17">
        <f t="shared" ref="B8:G8" si="0">SUM(B2:B7)</f>
        <v>100</v>
      </c>
      <c r="C8" s="17">
        <f t="shared" si="0"/>
        <v>1000</v>
      </c>
      <c r="D8" s="17">
        <f t="shared" si="0"/>
        <v>10000</v>
      </c>
      <c r="E8" s="17">
        <f t="shared" si="0"/>
        <v>100000</v>
      </c>
      <c r="F8" s="19">
        <f t="shared" si="0"/>
        <v>1</v>
      </c>
      <c r="G8" s="19">
        <f t="shared" si="0"/>
        <v>1.0002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5789-69B3-4F3C-A64E-C86710BD3F2E}">
  <dimension ref="A1:E5"/>
  <sheetViews>
    <sheetView workbookViewId="0"/>
  </sheetViews>
  <sheetFormatPr baseColWidth="10" defaultRowHeight="15" x14ac:dyDescent="0.25"/>
  <cols>
    <col min="1" max="1" width="16.5703125" bestFit="1" customWidth="1"/>
    <col min="2" max="2" width="15" bestFit="1" customWidth="1"/>
    <col min="3" max="3" width="21.85546875" bestFit="1" customWidth="1"/>
    <col min="4" max="4" width="8.85546875" bestFit="1" customWidth="1"/>
    <col min="5" max="5" width="10.42578125" bestFit="1" customWidth="1"/>
  </cols>
  <sheetData>
    <row r="1" spans="1:5" x14ac:dyDescent="0.25">
      <c r="A1" s="15" t="s">
        <v>41</v>
      </c>
      <c r="B1" s="15" t="s">
        <v>42</v>
      </c>
      <c r="C1" s="15" t="s">
        <v>43</v>
      </c>
      <c r="D1" s="15" t="s">
        <v>44</v>
      </c>
      <c r="E1" s="15" t="s">
        <v>45</v>
      </c>
    </row>
    <row r="2" spans="1:5" x14ac:dyDescent="0.25">
      <c r="A2" s="16">
        <v>100</v>
      </c>
      <c r="B2" s="16">
        <v>21</v>
      </c>
      <c r="C2" s="18">
        <v>0.21</v>
      </c>
      <c r="D2" s="18">
        <v>0.16669999999999999</v>
      </c>
      <c r="E2" s="18">
        <v>4.3299999999999998E-2</v>
      </c>
    </row>
    <row r="3" spans="1:5" x14ac:dyDescent="0.25">
      <c r="A3" s="16">
        <v>1000</v>
      </c>
      <c r="B3" s="16">
        <v>174</v>
      </c>
      <c r="C3" s="18">
        <v>0.17399999999999999</v>
      </c>
      <c r="D3" s="18">
        <v>0.16669999999999999</v>
      </c>
      <c r="E3" s="18">
        <v>7.3000000000000001E-3</v>
      </c>
    </row>
    <row r="4" spans="1:5" x14ac:dyDescent="0.25">
      <c r="A4" s="16">
        <v>10000</v>
      </c>
      <c r="B4" s="16">
        <v>1632</v>
      </c>
      <c r="C4" s="18">
        <v>0.16320000000000001</v>
      </c>
      <c r="D4" s="18">
        <v>0.16669999999999999</v>
      </c>
      <c r="E4" s="18">
        <v>3.5000000000000001E-3</v>
      </c>
    </row>
    <row r="5" spans="1:5" x14ac:dyDescent="0.25">
      <c r="A5" s="16">
        <v>100000</v>
      </c>
      <c r="B5" s="16">
        <v>16769</v>
      </c>
      <c r="C5" s="18">
        <v>0.16769999999999999</v>
      </c>
      <c r="D5" s="18">
        <v>0.16669999999999999</v>
      </c>
      <c r="E5" s="18">
        <v>1E-3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48E1-D262-43EE-B8D8-EA3179F30FBC}">
  <dimension ref="A1:F15"/>
  <sheetViews>
    <sheetView workbookViewId="0">
      <selection activeCell="C3" sqref="C3"/>
    </sheetView>
  </sheetViews>
  <sheetFormatPr baseColWidth="10" defaultRowHeight="15" x14ac:dyDescent="0.25"/>
  <cols>
    <col min="1" max="1" width="23.7109375" bestFit="1" customWidth="1"/>
    <col min="2" max="2" width="4.5703125" bestFit="1" customWidth="1"/>
    <col min="3" max="3" width="12.140625" bestFit="1" customWidth="1"/>
  </cols>
  <sheetData>
    <row r="1" spans="1:6" x14ac:dyDescent="0.25">
      <c r="A1" s="15" t="s">
        <v>46</v>
      </c>
      <c r="B1" s="15" t="s">
        <v>47</v>
      </c>
      <c r="C1" s="15" t="s">
        <v>48</v>
      </c>
      <c r="E1" t="s">
        <v>53</v>
      </c>
      <c r="F1" t="s">
        <v>54</v>
      </c>
    </row>
    <row r="2" spans="1:6" x14ac:dyDescent="0.25">
      <c r="A2" s="13">
        <v>0</v>
      </c>
      <c r="B2" s="20">
        <v>0.05</v>
      </c>
      <c r="C2" s="20">
        <f>B2</f>
        <v>0.05</v>
      </c>
      <c r="E2">
        <v>-0.5</v>
      </c>
      <c r="F2">
        <v>0</v>
      </c>
    </row>
    <row r="3" spans="1:6" x14ac:dyDescent="0.25">
      <c r="A3" s="13">
        <v>1</v>
      </c>
      <c r="B3" s="20">
        <v>0.15</v>
      </c>
      <c r="C3" s="20">
        <f>C2+B3</f>
        <v>0.2</v>
      </c>
      <c r="E3">
        <v>0</v>
      </c>
      <c r="F3">
        <v>0</v>
      </c>
    </row>
    <row r="4" spans="1:6" x14ac:dyDescent="0.25">
      <c r="A4" s="13">
        <v>2</v>
      </c>
      <c r="B4" s="20">
        <v>0.35</v>
      </c>
      <c r="C4" s="20">
        <f>C3+B4</f>
        <v>0.55000000000000004</v>
      </c>
      <c r="E4">
        <v>0</v>
      </c>
      <c r="F4">
        <v>0.05</v>
      </c>
    </row>
    <row r="5" spans="1:6" x14ac:dyDescent="0.25">
      <c r="A5" s="13">
        <v>3</v>
      </c>
      <c r="B5" s="20">
        <v>0.25</v>
      </c>
      <c r="C5" s="20">
        <f>C4+B5</f>
        <v>0.8</v>
      </c>
      <c r="E5">
        <v>1</v>
      </c>
      <c r="F5">
        <v>0.05</v>
      </c>
    </row>
    <row r="6" spans="1:6" x14ac:dyDescent="0.25">
      <c r="A6" s="13">
        <v>4</v>
      </c>
      <c r="B6" s="20">
        <v>0.1</v>
      </c>
      <c r="C6" s="20">
        <f>C5+B6</f>
        <v>0.9</v>
      </c>
      <c r="E6">
        <v>1</v>
      </c>
      <c r="F6">
        <v>0.2</v>
      </c>
    </row>
    <row r="7" spans="1:6" x14ac:dyDescent="0.25">
      <c r="A7" s="13">
        <v>5</v>
      </c>
      <c r="B7" s="20">
        <v>0.1</v>
      </c>
      <c r="C7" s="20">
        <f>C6+B7</f>
        <v>1</v>
      </c>
      <c r="E7">
        <v>2</v>
      </c>
      <c r="F7">
        <v>0.2</v>
      </c>
    </row>
    <row r="8" spans="1:6" x14ac:dyDescent="0.25">
      <c r="A8" s="14" t="s">
        <v>2</v>
      </c>
      <c r="B8" s="21">
        <f>SUM(B2:B7)</f>
        <v>1</v>
      </c>
      <c r="C8" s="21"/>
      <c r="E8">
        <v>2</v>
      </c>
      <c r="F8">
        <v>0.55000000000000004</v>
      </c>
    </row>
    <row r="9" spans="1:6" x14ac:dyDescent="0.25">
      <c r="E9">
        <v>3</v>
      </c>
      <c r="F9">
        <v>0.55000000000000004</v>
      </c>
    </row>
    <row r="10" spans="1:6" x14ac:dyDescent="0.25">
      <c r="E10">
        <v>3</v>
      </c>
      <c r="F10">
        <v>0.8</v>
      </c>
    </row>
    <row r="11" spans="1:6" x14ac:dyDescent="0.25">
      <c r="E11">
        <v>4</v>
      </c>
      <c r="F11">
        <v>0.8</v>
      </c>
    </row>
    <row r="12" spans="1:6" x14ac:dyDescent="0.25">
      <c r="E12">
        <v>4</v>
      </c>
      <c r="F12">
        <v>0.9</v>
      </c>
    </row>
    <row r="13" spans="1:6" x14ac:dyDescent="0.25">
      <c r="E13">
        <v>5</v>
      </c>
      <c r="F13">
        <v>0.9</v>
      </c>
    </row>
    <row r="14" spans="1:6" x14ac:dyDescent="0.25">
      <c r="E14">
        <v>5</v>
      </c>
      <c r="F14">
        <v>1</v>
      </c>
    </row>
    <row r="15" spans="1:6" x14ac:dyDescent="0.25">
      <c r="E15">
        <v>5.5</v>
      </c>
      <c r="F15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B447-21EC-43E1-995D-7ADDC88FE691}">
  <dimension ref="A1:D13"/>
  <sheetViews>
    <sheetView workbookViewId="0">
      <selection activeCell="J14" sqref="J14"/>
    </sheetView>
  </sheetViews>
  <sheetFormatPr baseColWidth="10" defaultRowHeight="15" x14ac:dyDescent="0.25"/>
  <cols>
    <col min="1" max="1" width="20.42578125" bestFit="1" customWidth="1"/>
    <col min="2" max="3" width="6.5703125" bestFit="1" customWidth="1"/>
    <col min="4" max="4" width="6.85546875" bestFit="1" customWidth="1"/>
  </cols>
  <sheetData>
    <row r="1" spans="1:4" x14ac:dyDescent="0.25">
      <c r="A1" s="15" t="s">
        <v>11</v>
      </c>
      <c r="B1" s="15" t="s">
        <v>47</v>
      </c>
      <c r="C1" s="15" t="s">
        <v>49</v>
      </c>
      <c r="D1" s="15" t="s">
        <v>50</v>
      </c>
    </row>
    <row r="2" spans="1:4" x14ac:dyDescent="0.25">
      <c r="A2" s="13">
        <v>0</v>
      </c>
      <c r="B2" s="18">
        <v>0.05</v>
      </c>
      <c r="C2" s="18">
        <f t="shared" ref="C2:C7" si="0">A2*B2</f>
        <v>0</v>
      </c>
      <c r="D2" s="18">
        <f t="shared" ref="D2:D7" si="1">A2^2*B2</f>
        <v>0</v>
      </c>
    </row>
    <row r="3" spans="1:4" x14ac:dyDescent="0.25">
      <c r="A3" s="13">
        <v>1</v>
      </c>
      <c r="B3" s="18">
        <v>0.15</v>
      </c>
      <c r="C3" s="18">
        <f t="shared" si="0"/>
        <v>0.15</v>
      </c>
      <c r="D3" s="18">
        <f t="shared" si="1"/>
        <v>0.15</v>
      </c>
    </row>
    <row r="4" spans="1:4" x14ac:dyDescent="0.25">
      <c r="A4" s="13">
        <v>2</v>
      </c>
      <c r="B4" s="18">
        <v>0.35</v>
      </c>
      <c r="C4" s="18">
        <f t="shared" si="0"/>
        <v>0.7</v>
      </c>
      <c r="D4" s="18">
        <f t="shared" si="1"/>
        <v>1.4</v>
      </c>
    </row>
    <row r="5" spans="1:4" x14ac:dyDescent="0.25">
      <c r="A5" s="13">
        <v>3</v>
      </c>
      <c r="B5" s="18">
        <v>0.25</v>
      </c>
      <c r="C5" s="18">
        <f t="shared" si="0"/>
        <v>0.75</v>
      </c>
      <c r="D5" s="18">
        <f t="shared" si="1"/>
        <v>2.25</v>
      </c>
    </row>
    <row r="6" spans="1:4" x14ac:dyDescent="0.25">
      <c r="A6" s="13">
        <v>4</v>
      </c>
      <c r="B6" s="18">
        <v>0.1</v>
      </c>
      <c r="C6" s="18">
        <f t="shared" si="0"/>
        <v>0.4</v>
      </c>
      <c r="D6" s="18">
        <f t="shared" si="1"/>
        <v>1.6</v>
      </c>
    </row>
    <row r="7" spans="1:4" x14ac:dyDescent="0.25">
      <c r="A7" s="13">
        <v>5</v>
      </c>
      <c r="B7" s="18">
        <v>0.1</v>
      </c>
      <c r="C7" s="18">
        <f t="shared" si="0"/>
        <v>0.5</v>
      </c>
      <c r="D7" s="18">
        <f t="shared" si="1"/>
        <v>2.5</v>
      </c>
    </row>
    <row r="8" spans="1:4" x14ac:dyDescent="0.25">
      <c r="A8" s="14" t="s">
        <v>2</v>
      </c>
      <c r="B8" s="19">
        <f>SUM(B2:B7)</f>
        <v>1</v>
      </c>
      <c r="C8" s="19">
        <f>SUM(C2:C7)</f>
        <v>2.5</v>
      </c>
      <c r="D8" s="19">
        <f>SUM(D2:D7)</f>
        <v>7.9</v>
      </c>
    </row>
    <row r="10" spans="1:4" x14ac:dyDescent="0.25">
      <c r="A10" s="14" t="s">
        <v>51</v>
      </c>
      <c r="B10" s="18">
        <f>C8</f>
        <v>2.5</v>
      </c>
    </row>
    <row r="11" spans="1:4" x14ac:dyDescent="0.25">
      <c r="A11" s="14" t="s">
        <v>52</v>
      </c>
      <c r="B11" s="18">
        <f>D8</f>
        <v>7.9</v>
      </c>
    </row>
    <row r="12" spans="1:4" x14ac:dyDescent="0.25">
      <c r="A12" s="14" t="s">
        <v>55</v>
      </c>
      <c r="B12" s="18">
        <f>B11-B10^2</f>
        <v>1.6500000000000004</v>
      </c>
    </row>
    <row r="13" spans="1:4" x14ac:dyDescent="0.25">
      <c r="A13" s="14" t="s">
        <v>56</v>
      </c>
      <c r="B13" s="18">
        <f>SQRT(B12)</f>
        <v>1.2845232578665131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584F-4C05-4BA2-85E1-57D8307B8D02}">
  <dimension ref="A1:G9"/>
  <sheetViews>
    <sheetView workbookViewId="0">
      <selection activeCell="G3" sqref="G3"/>
    </sheetView>
  </sheetViews>
  <sheetFormatPr baseColWidth="10" defaultRowHeight="15" x14ac:dyDescent="0.25"/>
  <cols>
    <col min="2" max="2" width="13" customWidth="1"/>
    <col min="3" max="3" width="13.28515625" bestFit="1" customWidth="1"/>
  </cols>
  <sheetData>
    <row r="1" spans="1:7" x14ac:dyDescent="0.25">
      <c r="A1" t="s">
        <v>57</v>
      </c>
      <c r="B1" t="s">
        <v>1</v>
      </c>
      <c r="C1" t="s">
        <v>58</v>
      </c>
      <c r="D1" t="s">
        <v>12</v>
      </c>
    </row>
    <row r="2" spans="1:7" x14ac:dyDescent="0.25">
      <c r="A2">
        <v>0</v>
      </c>
      <c r="B2">
        <v>897</v>
      </c>
      <c r="C2" s="22">
        <f>+B2/$B$9</f>
        <v>0.18396226415094338</v>
      </c>
      <c r="D2" s="22">
        <f>+Tabla2[[#This Row],[p(x)=f/4876]]</f>
        <v>0.18396226415094338</v>
      </c>
      <c r="G2">
        <f>1-0.184</f>
        <v>0.81600000000000006</v>
      </c>
    </row>
    <row r="3" spans="1:7" x14ac:dyDescent="0.25">
      <c r="A3">
        <v>1</v>
      </c>
      <c r="B3">
        <v>1082</v>
      </c>
      <c r="C3" s="22">
        <f t="shared" ref="C3:C8" si="0">+B3/$B$9</f>
        <v>0.22190319934372438</v>
      </c>
      <c r="D3" s="22">
        <f>+D2+Tabla2[[#This Row],[p(x)=f/4876]]</f>
        <v>0.40586546349466779</v>
      </c>
    </row>
    <row r="4" spans="1:7" x14ac:dyDescent="0.25">
      <c r="A4">
        <v>2</v>
      </c>
      <c r="B4">
        <v>1325</v>
      </c>
      <c r="C4" s="22">
        <f t="shared" si="0"/>
        <v>0.27173913043478259</v>
      </c>
      <c r="D4" s="22">
        <f>+D3+Tabla2[[#This Row],[p(x)=f/4876]]</f>
        <v>0.67760459392945038</v>
      </c>
    </row>
    <row r="5" spans="1:7" x14ac:dyDescent="0.25">
      <c r="A5">
        <v>3</v>
      </c>
      <c r="B5">
        <v>814</v>
      </c>
      <c r="C5" s="22">
        <f t="shared" si="0"/>
        <v>0.16694011484823626</v>
      </c>
      <c r="D5" s="22">
        <f>+D4+Tabla2[[#This Row],[p(x)=f/4876]]</f>
        <v>0.84454470877768661</v>
      </c>
    </row>
    <row r="6" spans="1:7" x14ac:dyDescent="0.25">
      <c r="A6">
        <v>4</v>
      </c>
      <c r="B6">
        <v>307</v>
      </c>
      <c r="C6" s="22">
        <f t="shared" si="0"/>
        <v>6.296144380639869E-2</v>
      </c>
      <c r="D6" s="22">
        <f>+D5+Tabla2[[#This Row],[p(x)=f/4876]]</f>
        <v>0.90750615258408529</v>
      </c>
    </row>
    <row r="7" spans="1:7" x14ac:dyDescent="0.25">
      <c r="A7">
        <v>5</v>
      </c>
      <c r="B7">
        <v>253</v>
      </c>
      <c r="C7" s="22">
        <f t="shared" si="0"/>
        <v>5.1886792452830191E-2</v>
      </c>
      <c r="D7" s="22">
        <f>+D6+Tabla2[[#This Row],[p(x)=f/4876]]</f>
        <v>0.95939294503691552</v>
      </c>
    </row>
    <row r="8" spans="1:7" x14ac:dyDescent="0.25">
      <c r="A8">
        <v>6</v>
      </c>
      <c r="B8">
        <v>198</v>
      </c>
      <c r="C8" s="22">
        <f t="shared" si="0"/>
        <v>4.0607054963084498E-2</v>
      </c>
      <c r="D8" s="22">
        <f>+D7+Tabla2[[#This Row],[p(x)=f/4876]]</f>
        <v>1</v>
      </c>
    </row>
    <row r="9" spans="1:7" x14ac:dyDescent="0.25">
      <c r="A9" t="s">
        <v>40</v>
      </c>
      <c r="B9">
        <f>SUM(B2:B8)</f>
        <v>4876</v>
      </c>
      <c r="C9">
        <f>SUM(C2:C8)</f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ADF4-253B-4A28-ABEC-9C4AB2110F90}">
  <dimension ref="A1:D6"/>
  <sheetViews>
    <sheetView workbookViewId="0">
      <selection sqref="A1:D6"/>
    </sheetView>
  </sheetViews>
  <sheetFormatPr baseColWidth="10" defaultRowHeight="15" x14ac:dyDescent="0.25"/>
  <cols>
    <col min="2" max="2" width="22" customWidth="1"/>
    <col min="3" max="3" width="16.7109375" customWidth="1"/>
    <col min="4" max="4" width="17.28515625" customWidth="1"/>
  </cols>
  <sheetData>
    <row r="1" spans="1:4" ht="30" x14ac:dyDescent="0.25">
      <c r="A1" t="s">
        <v>59</v>
      </c>
      <c r="B1" s="23" t="s">
        <v>60</v>
      </c>
      <c r="C1" s="23" t="s">
        <v>61</v>
      </c>
      <c r="D1" s="23" t="s">
        <v>66</v>
      </c>
    </row>
    <row r="2" spans="1:4" x14ac:dyDescent="0.25">
      <c r="A2" t="s">
        <v>62</v>
      </c>
      <c r="B2">
        <v>0.35</v>
      </c>
      <c r="C2">
        <v>0.01</v>
      </c>
      <c r="D2">
        <f>+Tabla3[[#This Row],[Tasa de defecto P(D/Ai)]]*Tabla3[[#This Row],[Proporsión de produción P(Ai)]]</f>
        <v>3.4999999999999996E-3</v>
      </c>
    </row>
    <row r="3" spans="1:4" x14ac:dyDescent="0.25">
      <c r="A3" t="s">
        <v>63</v>
      </c>
      <c r="B3">
        <v>0.2</v>
      </c>
      <c r="C3">
        <v>0.03</v>
      </c>
      <c r="D3">
        <f>+Tabla3[[#This Row],[Tasa de defecto P(D/Ai)]]*Tabla3[[#This Row],[Proporsión de produción P(Ai)]]</f>
        <v>6.0000000000000001E-3</v>
      </c>
    </row>
    <row r="4" spans="1:4" x14ac:dyDescent="0.25">
      <c r="A4" t="s">
        <v>64</v>
      </c>
      <c r="B4">
        <v>0.24</v>
      </c>
      <c r="C4">
        <v>2.5000000000000001E-2</v>
      </c>
      <c r="D4">
        <f>+Tabla3[[#This Row],[Tasa de defecto P(D/Ai)]]*Tabla3[[#This Row],[Proporsión de produción P(Ai)]]</f>
        <v>6.0000000000000001E-3</v>
      </c>
    </row>
    <row r="5" spans="1:4" x14ac:dyDescent="0.25">
      <c r="A5" t="s">
        <v>65</v>
      </c>
      <c r="B5">
        <v>0.21</v>
      </c>
      <c r="C5">
        <v>0.02</v>
      </c>
      <c r="D5">
        <f>+Tabla3[[#This Row],[Tasa de defecto P(D/Ai)]]*Tabla3[[#This Row],[Proporsión de produción P(Ai)]]</f>
        <v>4.1999999999999997E-3</v>
      </c>
    </row>
    <row r="6" spans="1:4" x14ac:dyDescent="0.25">
      <c r="A6" t="s">
        <v>40</v>
      </c>
      <c r="B6">
        <f>SUM(B2:B5)</f>
        <v>1</v>
      </c>
      <c r="D6">
        <f>SUBTOTAL(109,D2:D5)</f>
        <v>1.9699999999999999E-2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0234-E27F-499B-BDD3-054DBE9CBD0E}">
  <dimension ref="A1:E20"/>
  <sheetViews>
    <sheetView workbookViewId="0">
      <selection activeCell="A20" sqref="A20"/>
    </sheetView>
  </sheetViews>
  <sheetFormatPr baseColWidth="10" defaultRowHeight="15" x14ac:dyDescent="0.25"/>
  <cols>
    <col min="1" max="1" width="31.28515625" bestFit="1" customWidth="1"/>
    <col min="2" max="2" width="11.42578125" customWidth="1"/>
    <col min="3" max="3" width="10.42578125" customWidth="1"/>
  </cols>
  <sheetData>
    <row r="1" spans="1:5" x14ac:dyDescent="0.25">
      <c r="A1" t="s">
        <v>67</v>
      </c>
      <c r="B1" t="s">
        <v>68</v>
      </c>
      <c r="C1" t="s">
        <v>69</v>
      </c>
      <c r="D1" t="s">
        <v>40</v>
      </c>
    </row>
    <row r="2" spans="1:5" x14ac:dyDescent="0.25">
      <c r="A2" t="s">
        <v>70</v>
      </c>
      <c r="B2">
        <v>19079</v>
      </c>
      <c r="C2">
        <v>19021</v>
      </c>
      <c r="D2">
        <f>SUM(B2:C2)</f>
        <v>38100</v>
      </c>
    </row>
    <row r="3" spans="1:5" x14ac:dyDescent="0.25">
      <c r="A3" t="s">
        <v>71</v>
      </c>
      <c r="B3">
        <v>11079</v>
      </c>
      <c r="C3">
        <v>19315</v>
      </c>
      <c r="D3">
        <f t="shared" ref="D3:D8" si="0">SUM(B3:C3)</f>
        <v>30394</v>
      </c>
    </row>
    <row r="4" spans="1:5" x14ac:dyDescent="0.25">
      <c r="A4" t="s">
        <v>72</v>
      </c>
      <c r="B4">
        <v>4977</v>
      </c>
      <c r="C4">
        <v>7947</v>
      </c>
      <c r="D4">
        <f t="shared" si="0"/>
        <v>12924</v>
      </c>
    </row>
    <row r="5" spans="1:5" x14ac:dyDescent="0.25">
      <c r="A5" t="s">
        <v>73</v>
      </c>
      <c r="B5">
        <v>11682</v>
      </c>
      <c r="C5">
        <v>1138</v>
      </c>
      <c r="D5">
        <f t="shared" si="0"/>
        <v>12820</v>
      </c>
    </row>
    <row r="6" spans="1:5" x14ac:dyDescent="0.25">
      <c r="A6" t="s">
        <v>74</v>
      </c>
      <c r="B6">
        <v>10576</v>
      </c>
      <c r="C6">
        <v>3482</v>
      </c>
      <c r="D6">
        <f t="shared" si="0"/>
        <v>14058</v>
      </c>
    </row>
    <row r="7" spans="1:5" x14ac:dyDescent="0.25">
      <c r="A7" t="s">
        <v>75</v>
      </c>
      <c r="B7">
        <v>1838</v>
      </c>
      <c r="C7">
        <v>514</v>
      </c>
      <c r="D7">
        <f t="shared" si="0"/>
        <v>2352</v>
      </c>
    </row>
    <row r="8" spans="1:5" x14ac:dyDescent="0.25">
      <c r="A8" t="s">
        <v>40</v>
      </c>
      <c r="B8">
        <f>SUM(B2:B7)</f>
        <v>59231</v>
      </c>
      <c r="C8">
        <f>SUM(C2:C7)</f>
        <v>51417</v>
      </c>
      <c r="D8">
        <f t="shared" si="0"/>
        <v>110648</v>
      </c>
    </row>
    <row r="10" spans="1:5" x14ac:dyDescent="0.25">
      <c r="A10" t="s">
        <v>76</v>
      </c>
    </row>
    <row r="11" spans="1:5" x14ac:dyDescent="0.25">
      <c r="A11" t="s">
        <v>67</v>
      </c>
      <c r="B11" t="s">
        <v>68</v>
      </c>
      <c r="C11" t="s">
        <v>69</v>
      </c>
      <c r="D11" t="s">
        <v>40</v>
      </c>
      <c r="E11" t="s">
        <v>77</v>
      </c>
    </row>
    <row r="12" spans="1:5" x14ac:dyDescent="0.25">
      <c r="A12" t="s">
        <v>70</v>
      </c>
      <c r="B12" s="22">
        <f>B2/$D$8</f>
        <v>0.17242968693514568</v>
      </c>
      <c r="C12" s="22">
        <f t="shared" ref="C12:C17" si="1">C2/$D$8</f>
        <v>0.17190550213288988</v>
      </c>
      <c r="D12" s="22">
        <f>SUM(B12:C12)</f>
        <v>0.34433518906803556</v>
      </c>
      <c r="E12" s="22">
        <f>+Tabla46[[#This Row],[Total]]</f>
        <v>0.34433518906803556</v>
      </c>
    </row>
    <row r="13" spans="1:5" x14ac:dyDescent="0.25">
      <c r="A13" t="s">
        <v>71</v>
      </c>
      <c r="B13" s="22">
        <f t="shared" ref="B13:B17" si="2">B3/$D$8</f>
        <v>0.10012833489986263</v>
      </c>
      <c r="C13" s="22">
        <f t="shared" si="1"/>
        <v>0.17456257682018653</v>
      </c>
      <c r="D13" s="22">
        <f t="shared" ref="D13:D18" si="3">SUM(B13:C13)</f>
        <v>0.27469091172004917</v>
      </c>
      <c r="E13" s="22">
        <f>+E12+Tabla46[[#This Row],[Total]]</f>
        <v>0.61902610078808473</v>
      </c>
    </row>
    <row r="14" spans="1:5" x14ac:dyDescent="0.25">
      <c r="A14" t="s">
        <v>72</v>
      </c>
      <c r="B14" s="22">
        <f t="shared" si="2"/>
        <v>4.4980478634950471E-2</v>
      </c>
      <c r="C14" s="22">
        <f t="shared" si="1"/>
        <v>7.1822355578049307E-2</v>
      </c>
      <c r="D14" s="22">
        <f t="shared" si="3"/>
        <v>0.11680283421299978</v>
      </c>
      <c r="E14" s="22">
        <f>+E13+Tabla46[[#This Row],[Total]]</f>
        <v>0.73582893500108448</v>
      </c>
    </row>
    <row r="15" spans="1:5" x14ac:dyDescent="0.25">
      <c r="A15" t="s">
        <v>73</v>
      </c>
      <c r="B15" s="22">
        <f t="shared" si="2"/>
        <v>0.10557804930952208</v>
      </c>
      <c r="C15" s="22">
        <f t="shared" si="1"/>
        <v>1.0284867327019016E-2</v>
      </c>
      <c r="D15" s="22">
        <f t="shared" si="3"/>
        <v>0.11586291663654109</v>
      </c>
      <c r="E15" s="22">
        <f>+E14+Tabla46[[#This Row],[Total]]</f>
        <v>0.85169185163762562</v>
      </c>
    </row>
    <row r="16" spans="1:5" x14ac:dyDescent="0.25">
      <c r="A16" t="s">
        <v>74</v>
      </c>
      <c r="B16" s="22">
        <f t="shared" si="2"/>
        <v>9.5582387390644202E-2</v>
      </c>
      <c r="C16" s="22">
        <f t="shared" si="1"/>
        <v>3.1469163473356952E-2</v>
      </c>
      <c r="D16" s="22">
        <f t="shared" si="3"/>
        <v>0.12705155086400116</v>
      </c>
      <c r="E16" s="22">
        <f>+E15+Tabla46[[#This Row],[Total]]</f>
        <v>0.97874340250162684</v>
      </c>
    </row>
    <row r="17" spans="1:5" x14ac:dyDescent="0.25">
      <c r="A17" t="s">
        <v>75</v>
      </c>
      <c r="B17" s="22">
        <f t="shared" si="2"/>
        <v>1.6611235630106282E-2</v>
      </c>
      <c r="C17" s="22">
        <f t="shared" si="1"/>
        <v>4.6453618682669364E-3</v>
      </c>
      <c r="D17" s="22">
        <f t="shared" si="3"/>
        <v>2.125659749837322E-2</v>
      </c>
      <c r="E17" s="22">
        <f>+E16+Tabla46[[#This Row],[Total]]</f>
        <v>1</v>
      </c>
    </row>
    <row r="18" spans="1:5" x14ac:dyDescent="0.25">
      <c r="A18" t="s">
        <v>40</v>
      </c>
      <c r="B18" s="22">
        <f>SUM(B12:B17)</f>
        <v>0.5353101728002313</v>
      </c>
      <c r="C18" s="22">
        <f>SUM(C12:C17)</f>
        <v>0.46468982719976853</v>
      </c>
      <c r="D18" s="22">
        <f t="shared" si="3"/>
        <v>0.99999999999999978</v>
      </c>
      <c r="E18" s="22"/>
    </row>
    <row r="20" spans="1:5" x14ac:dyDescent="0.25">
      <c r="A20" s="22">
        <f>+C17/C18</f>
        <v>9.9966937005270644E-3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113C-5FB5-4175-B0F3-566315EA27D1}">
  <dimension ref="A1:E7"/>
  <sheetViews>
    <sheetView workbookViewId="0">
      <selection sqref="A1:E5"/>
    </sheetView>
  </sheetViews>
  <sheetFormatPr baseColWidth="10" defaultRowHeight="15" x14ac:dyDescent="0.25"/>
  <cols>
    <col min="1" max="1" width="14.5703125" bestFit="1" customWidth="1"/>
    <col min="3" max="4" width="19.5703125" customWidth="1"/>
    <col min="5" max="5" width="22.140625" customWidth="1"/>
  </cols>
  <sheetData>
    <row r="1" spans="1:5" x14ac:dyDescent="0.25">
      <c r="A1" t="s">
        <v>78</v>
      </c>
      <c r="B1" t="s">
        <v>82</v>
      </c>
      <c r="C1" t="s">
        <v>83</v>
      </c>
      <c r="D1" t="s">
        <v>84</v>
      </c>
      <c r="E1" t="s">
        <v>85</v>
      </c>
    </row>
    <row r="2" spans="1:5" x14ac:dyDescent="0.25">
      <c r="A2" t="s">
        <v>79</v>
      </c>
      <c r="B2">
        <v>0.4</v>
      </c>
      <c r="C2">
        <v>0.3</v>
      </c>
      <c r="D2">
        <f>1-C2</f>
        <v>0.7</v>
      </c>
      <c r="E2">
        <f>+B2*D2</f>
        <v>0.27999999999999997</v>
      </c>
    </row>
    <row r="3" spans="1:5" x14ac:dyDescent="0.25">
      <c r="A3" t="s">
        <v>80</v>
      </c>
      <c r="B3">
        <v>0.35</v>
      </c>
      <c r="C3">
        <v>0.6</v>
      </c>
      <c r="D3">
        <f t="shared" ref="D3:D4" si="0">1-C3</f>
        <v>0.4</v>
      </c>
      <c r="E3">
        <f t="shared" ref="E3:E4" si="1">+B3*D3</f>
        <v>0.13999999999999999</v>
      </c>
    </row>
    <row r="4" spans="1:5" x14ac:dyDescent="0.25">
      <c r="A4" t="s">
        <v>81</v>
      </c>
      <c r="B4">
        <v>0.25</v>
      </c>
      <c r="C4">
        <v>0.45</v>
      </c>
      <c r="D4">
        <f t="shared" si="0"/>
        <v>0.55000000000000004</v>
      </c>
      <c r="E4">
        <f t="shared" si="1"/>
        <v>0.13750000000000001</v>
      </c>
    </row>
    <row r="5" spans="1:5" x14ac:dyDescent="0.25">
      <c r="A5" t="s">
        <v>40</v>
      </c>
      <c r="B5">
        <f>SUM(B2:B4)</f>
        <v>1</v>
      </c>
      <c r="C5">
        <f>SUM(C2:C4)</f>
        <v>1.3499999999999999</v>
      </c>
      <c r="D5">
        <f>SUM(D2:D4)</f>
        <v>1.6500000000000001</v>
      </c>
      <c r="E5">
        <f>SUM(E2:E4)</f>
        <v>0.55749999999999988</v>
      </c>
    </row>
    <row r="7" spans="1:5" x14ac:dyDescent="0.25">
      <c r="A7" t="s">
        <v>87</v>
      </c>
      <c r="B7" t="s">
        <v>86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E5C9-187A-48B7-B0FA-7F4BEBE04119}">
  <dimension ref="A1:D5"/>
  <sheetViews>
    <sheetView workbookViewId="0">
      <selection activeCell="D5" sqref="D5"/>
    </sheetView>
  </sheetViews>
  <sheetFormatPr baseColWidth="10" defaultRowHeight="15" x14ac:dyDescent="0.25"/>
  <cols>
    <col min="3" max="3" width="11.5703125" customWidth="1"/>
    <col min="4" max="4" width="17.85546875" customWidth="1"/>
  </cols>
  <sheetData>
    <row r="1" spans="1:4" x14ac:dyDescent="0.25">
      <c r="A1" t="s">
        <v>88</v>
      </c>
      <c r="B1" t="s">
        <v>91</v>
      </c>
      <c r="C1" t="s">
        <v>92</v>
      </c>
      <c r="D1" t="s">
        <v>93</v>
      </c>
    </row>
    <row r="2" spans="1:4" x14ac:dyDescent="0.25">
      <c r="A2" t="s">
        <v>89</v>
      </c>
      <c r="B2">
        <v>0.4</v>
      </c>
      <c r="C2">
        <v>0.02</v>
      </c>
      <c r="D2">
        <f>+B2*C2</f>
        <v>8.0000000000000002E-3</v>
      </c>
    </row>
    <row r="3" spans="1:4" x14ac:dyDescent="0.25">
      <c r="A3" t="s">
        <v>90</v>
      </c>
      <c r="B3">
        <v>0.3</v>
      </c>
      <c r="C3">
        <v>0.03</v>
      </c>
      <c r="D3">
        <f t="shared" ref="D3:D4" si="0">+B3*C3</f>
        <v>8.9999999999999993E-3</v>
      </c>
    </row>
    <row r="4" spans="1:4" x14ac:dyDescent="0.25">
      <c r="A4" t="s">
        <v>23</v>
      </c>
      <c r="B4">
        <v>0.3</v>
      </c>
      <c r="C4">
        <v>0.05</v>
      </c>
      <c r="D4">
        <f t="shared" si="0"/>
        <v>1.4999999999999999E-2</v>
      </c>
    </row>
    <row r="5" spans="1:4" x14ac:dyDescent="0.25">
      <c r="A5" t="s">
        <v>40</v>
      </c>
      <c r="B5">
        <f>SUM(B2:B4)</f>
        <v>1</v>
      </c>
      <c r="C5">
        <f>SUBTOTAL(109,C2:C4)</f>
        <v>0.1</v>
      </c>
      <c r="D5">
        <f>SUM(D2:D4)</f>
        <v>3.2000000000000001E-2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8FF8-0BE9-4317-B9D0-F8F652B634EE}">
  <dimension ref="A1:E7"/>
  <sheetViews>
    <sheetView workbookViewId="0">
      <selection sqref="A1:E7"/>
    </sheetView>
  </sheetViews>
  <sheetFormatPr baseColWidth="10" defaultRowHeight="15" x14ac:dyDescent="0.25"/>
  <cols>
    <col min="5" max="5" width="12.42578125" customWidth="1"/>
  </cols>
  <sheetData>
    <row r="1" spans="1:5" x14ac:dyDescent="0.25">
      <c r="A1" t="s">
        <v>94</v>
      </c>
      <c r="B1" t="s">
        <v>98</v>
      </c>
      <c r="C1" t="s">
        <v>99</v>
      </c>
      <c r="D1" t="s">
        <v>100</v>
      </c>
      <c r="E1" t="s">
        <v>101</v>
      </c>
    </row>
    <row r="2" spans="1:5" x14ac:dyDescent="0.25">
      <c r="A2" t="s">
        <v>95</v>
      </c>
      <c r="B2">
        <v>0.2</v>
      </c>
      <c r="C2">
        <v>0.25</v>
      </c>
      <c r="E2" s="24">
        <f>+B2*C2</f>
        <v>0.05</v>
      </c>
    </row>
    <row r="3" spans="1:5" x14ac:dyDescent="0.25">
      <c r="A3" t="s">
        <v>96</v>
      </c>
      <c r="B3">
        <v>0.35</v>
      </c>
      <c r="C3">
        <v>0.15</v>
      </c>
      <c r="E3" s="24">
        <f t="shared" ref="E3:E4" si="0">+B3*C3</f>
        <v>5.2499999999999998E-2</v>
      </c>
    </row>
    <row r="4" spans="1:5" x14ac:dyDescent="0.25">
      <c r="A4" t="s">
        <v>97</v>
      </c>
      <c r="B4">
        <f>1-B3-B2</f>
        <v>0.45</v>
      </c>
      <c r="C4">
        <v>0.4</v>
      </c>
      <c r="D4">
        <v>0.6</v>
      </c>
      <c r="E4" s="24">
        <f t="shared" si="0"/>
        <v>0.18000000000000002</v>
      </c>
    </row>
    <row r="5" spans="1:5" x14ac:dyDescent="0.25">
      <c r="A5" t="s">
        <v>40</v>
      </c>
      <c r="B5">
        <f>SUM(B2:B4)</f>
        <v>1</v>
      </c>
      <c r="E5" s="24">
        <f>SUM(E2:E4)</f>
        <v>0.28250000000000003</v>
      </c>
    </row>
    <row r="7" spans="1:5" x14ac:dyDescent="0.25">
      <c r="A7" t="s">
        <v>102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FD2E-B1E1-42F6-880D-9F0A0A45D9DC}">
  <dimension ref="A1:D7"/>
  <sheetViews>
    <sheetView workbookViewId="0">
      <selection sqref="A1:D7"/>
    </sheetView>
  </sheetViews>
  <sheetFormatPr baseColWidth="10" defaultRowHeight="15" x14ac:dyDescent="0.25"/>
  <cols>
    <col min="1" max="1" width="23.5703125" bestFit="1" customWidth="1"/>
    <col min="2" max="2" width="12.28515625" customWidth="1"/>
    <col min="3" max="3" width="13" bestFit="1" customWidth="1"/>
    <col min="4" max="4" width="19.140625" bestFit="1" customWidth="1"/>
  </cols>
  <sheetData>
    <row r="1" spans="1:4" x14ac:dyDescent="0.25">
      <c r="A1" t="s">
        <v>109</v>
      </c>
      <c r="B1" t="s">
        <v>110</v>
      </c>
      <c r="C1" t="s">
        <v>111</v>
      </c>
      <c r="D1" t="s">
        <v>112</v>
      </c>
    </row>
    <row r="2" spans="1:4" x14ac:dyDescent="0.25">
      <c r="A2" t="s">
        <v>103</v>
      </c>
      <c r="C2" t="s">
        <v>106</v>
      </c>
      <c r="D2" t="s">
        <v>107</v>
      </c>
    </row>
    <row r="3" spans="1:4" x14ac:dyDescent="0.25">
      <c r="A3" t="s">
        <v>104</v>
      </c>
      <c r="B3">
        <v>0.1</v>
      </c>
      <c r="C3">
        <v>0.97</v>
      </c>
      <c r="D3">
        <f>+C3*B3</f>
        <v>9.7000000000000003E-2</v>
      </c>
    </row>
    <row r="4" spans="1:4" x14ac:dyDescent="0.25">
      <c r="A4" t="s">
        <v>105</v>
      </c>
      <c r="B4">
        <v>0.9</v>
      </c>
      <c r="C4">
        <v>0.02</v>
      </c>
      <c r="D4">
        <f>+C4*B4</f>
        <v>1.8000000000000002E-2</v>
      </c>
    </row>
    <row r="5" spans="1:4" x14ac:dyDescent="0.25">
      <c r="A5" t="s">
        <v>40</v>
      </c>
      <c r="B5">
        <f>SUM(B3:B4)</f>
        <v>1</v>
      </c>
      <c r="D5">
        <f>SUM(D3:D4)</f>
        <v>0.115</v>
      </c>
    </row>
    <row r="7" spans="1:4" x14ac:dyDescent="0.25">
      <c r="A7" t="s">
        <v>108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54AB-8745-44D5-A174-54F135FAC578}">
  <dimension ref="A1:D5"/>
  <sheetViews>
    <sheetView workbookViewId="0">
      <selection activeCell="C2" sqref="C2"/>
    </sheetView>
  </sheetViews>
  <sheetFormatPr baseColWidth="10" defaultRowHeight="15" x14ac:dyDescent="0.25"/>
  <sheetData>
    <row r="1" spans="1:4" x14ac:dyDescent="0.25">
      <c r="A1" t="s">
        <v>11</v>
      </c>
      <c r="B1" t="s">
        <v>47</v>
      </c>
      <c r="C1" t="s">
        <v>12</v>
      </c>
      <c r="D1" t="s">
        <v>11</v>
      </c>
    </row>
    <row r="2" spans="1:4" x14ac:dyDescent="0.25">
      <c r="A2">
        <v>4</v>
      </c>
      <c r="B2">
        <v>0.45</v>
      </c>
      <c r="C2">
        <f>+B2</f>
        <v>0.45</v>
      </c>
      <c r="D2" t="s">
        <v>113</v>
      </c>
    </row>
    <row r="3" spans="1:4" x14ac:dyDescent="0.25">
      <c r="A3">
        <v>6</v>
      </c>
      <c r="B3">
        <v>0.4</v>
      </c>
      <c r="C3">
        <f>+C2+B3</f>
        <v>0.85000000000000009</v>
      </c>
      <c r="D3" t="s">
        <v>114</v>
      </c>
    </row>
    <row r="4" spans="1:4" x14ac:dyDescent="0.25">
      <c r="A4">
        <v>8</v>
      </c>
      <c r="B4">
        <v>0.15</v>
      </c>
      <c r="C4">
        <f>+C3+B4</f>
        <v>1</v>
      </c>
      <c r="D4" t="s">
        <v>115</v>
      </c>
    </row>
    <row r="5" spans="1:4" x14ac:dyDescent="0.25">
      <c r="A5" t="s">
        <v>40</v>
      </c>
      <c r="B5">
        <f>SUM(B2:B4)</f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E362-DCA4-4C46-8EDE-08FC9BCAF288}">
  <dimension ref="A1:F14"/>
  <sheetViews>
    <sheetView workbookViewId="0">
      <selection activeCell="D16" sqref="D16"/>
    </sheetView>
  </sheetViews>
  <sheetFormatPr baseColWidth="10" defaultRowHeight="15" x14ac:dyDescent="0.25"/>
  <cols>
    <col min="3" max="3" width="13.28515625" customWidth="1"/>
    <col min="5" max="5" width="15" customWidth="1"/>
  </cols>
  <sheetData>
    <row r="1" spans="1:6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109</v>
      </c>
    </row>
    <row r="2" spans="1:6" x14ac:dyDescent="0.25">
      <c r="A2">
        <v>45</v>
      </c>
      <c r="B2">
        <v>0.05</v>
      </c>
      <c r="C2">
        <f>+B2*A2</f>
        <v>2.25</v>
      </c>
      <c r="D2" s="24">
        <f>POWER(A2-$C$13,2)</f>
        <v>14.745600000000026</v>
      </c>
      <c r="E2" s="24">
        <f>+D2*B2</f>
        <v>0.73728000000000138</v>
      </c>
    </row>
    <row r="3" spans="1:6" x14ac:dyDescent="0.25">
      <c r="A3">
        <v>46</v>
      </c>
      <c r="B3">
        <v>0.1</v>
      </c>
      <c r="C3">
        <f t="shared" ref="C3:C12" si="0">+B3*A3</f>
        <v>4.6000000000000005</v>
      </c>
      <c r="D3" s="24">
        <f t="shared" ref="D3:D13" si="1">POWER(A3-$C$13,2)</f>
        <v>8.0656000000000194</v>
      </c>
      <c r="E3" s="24">
        <f t="shared" ref="E3:E12" si="2">+D3*B3</f>
        <v>0.80656000000000194</v>
      </c>
    </row>
    <row r="4" spans="1:6" x14ac:dyDescent="0.25">
      <c r="A4">
        <v>47</v>
      </c>
      <c r="B4">
        <v>0.12</v>
      </c>
      <c r="C4">
        <f t="shared" si="0"/>
        <v>5.64</v>
      </c>
      <c r="D4" s="24">
        <f t="shared" si="1"/>
        <v>3.3856000000000126</v>
      </c>
      <c r="E4" s="24">
        <f t="shared" si="2"/>
        <v>0.40627200000000152</v>
      </c>
    </row>
    <row r="5" spans="1:6" x14ac:dyDescent="0.25">
      <c r="A5">
        <v>48</v>
      </c>
      <c r="B5">
        <v>0.14000000000000001</v>
      </c>
      <c r="C5">
        <f t="shared" si="0"/>
        <v>6.7200000000000006</v>
      </c>
      <c r="D5" s="24">
        <f t="shared" si="1"/>
        <v>0.70560000000000578</v>
      </c>
      <c r="E5" s="24">
        <f t="shared" si="2"/>
        <v>9.8784000000000816E-2</v>
      </c>
    </row>
    <row r="6" spans="1:6" x14ac:dyDescent="0.25">
      <c r="A6">
        <v>49</v>
      </c>
      <c r="B6">
        <v>0.25</v>
      </c>
      <c r="C6">
        <f t="shared" si="0"/>
        <v>12.25</v>
      </c>
      <c r="D6" s="24">
        <f t="shared" si="1"/>
        <v>2.5599999999998908E-2</v>
      </c>
      <c r="E6" s="24">
        <f t="shared" si="2"/>
        <v>6.3999999999997271E-3</v>
      </c>
    </row>
    <row r="7" spans="1:6" x14ac:dyDescent="0.25">
      <c r="A7">
        <v>50</v>
      </c>
      <c r="B7">
        <v>0.17</v>
      </c>
      <c r="C7">
        <f t="shared" si="0"/>
        <v>8.5</v>
      </c>
      <c r="D7" s="24">
        <f t="shared" si="1"/>
        <v>1.3455999999999921</v>
      </c>
      <c r="E7" s="24">
        <f t="shared" si="2"/>
        <v>0.22875199999999868</v>
      </c>
    </row>
    <row r="8" spans="1:6" x14ac:dyDescent="0.25">
      <c r="A8">
        <v>51</v>
      </c>
      <c r="B8">
        <v>0.06</v>
      </c>
      <c r="C8">
        <f t="shared" si="0"/>
        <v>3.06</v>
      </c>
      <c r="D8" s="24">
        <f t="shared" si="1"/>
        <v>4.6655999999999853</v>
      </c>
      <c r="E8" s="24">
        <f t="shared" si="2"/>
        <v>0.27993599999999913</v>
      </c>
    </row>
    <row r="9" spans="1:6" x14ac:dyDescent="0.25">
      <c r="A9">
        <v>52</v>
      </c>
      <c r="B9">
        <v>0.05</v>
      </c>
      <c r="C9">
        <f t="shared" si="0"/>
        <v>2.6</v>
      </c>
      <c r="D9" s="24">
        <f t="shared" si="1"/>
        <v>9.9855999999999785</v>
      </c>
      <c r="E9" s="24">
        <f t="shared" si="2"/>
        <v>0.49927999999999895</v>
      </c>
    </row>
    <row r="10" spans="1:6" x14ac:dyDescent="0.25">
      <c r="A10">
        <v>53</v>
      </c>
      <c r="B10">
        <v>0.03</v>
      </c>
      <c r="C10">
        <f t="shared" si="0"/>
        <v>1.5899999999999999</v>
      </c>
      <c r="D10" s="24">
        <f t="shared" si="1"/>
        <v>17.30559999999997</v>
      </c>
      <c r="E10" s="24">
        <f t="shared" si="2"/>
        <v>0.51916799999999907</v>
      </c>
    </row>
    <row r="11" spans="1:6" x14ac:dyDescent="0.25">
      <c r="A11">
        <v>54</v>
      </c>
      <c r="B11">
        <v>0.02</v>
      </c>
      <c r="C11">
        <f t="shared" si="0"/>
        <v>1.08</v>
      </c>
      <c r="D11" s="24">
        <f t="shared" si="1"/>
        <v>26.625599999999963</v>
      </c>
      <c r="E11" s="24">
        <f t="shared" si="2"/>
        <v>0.53251199999999932</v>
      </c>
    </row>
    <row r="12" spans="1:6" x14ac:dyDescent="0.25">
      <c r="A12">
        <v>55</v>
      </c>
      <c r="B12">
        <v>0.01</v>
      </c>
      <c r="C12">
        <f t="shared" si="0"/>
        <v>0.55000000000000004</v>
      </c>
      <c r="D12" s="24">
        <f t="shared" si="1"/>
        <v>37.945599999999956</v>
      </c>
      <c r="E12" s="24">
        <f t="shared" si="2"/>
        <v>0.37945599999999957</v>
      </c>
    </row>
    <row r="13" spans="1:6" x14ac:dyDescent="0.25">
      <c r="A13" t="s">
        <v>40</v>
      </c>
      <c r="B13">
        <f>SUM(B2:B12)</f>
        <v>1.0000000000000002</v>
      </c>
      <c r="C13">
        <f>SUM(C2:C12)</f>
        <v>48.84</v>
      </c>
      <c r="E13">
        <f>SUM(E2:E12)</f>
        <v>4.4944000000000006</v>
      </c>
      <c r="F13">
        <f>SQRT(Tabla10[[#This Row],[((y-u)^2 )p(y)]])</f>
        <v>2.12</v>
      </c>
    </row>
    <row r="14" spans="1:6" x14ac:dyDescent="0.25">
      <c r="C14" t="s">
        <v>121</v>
      </c>
      <c r="E14" t="s">
        <v>122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09AA-3A11-4A0A-865F-F46882E8A5CC}">
  <dimension ref="A1:E12"/>
  <sheetViews>
    <sheetView workbookViewId="0">
      <selection activeCell="E2" sqref="E2"/>
    </sheetView>
  </sheetViews>
  <sheetFormatPr baseColWidth="10" defaultRowHeight="15" x14ac:dyDescent="0.25"/>
  <cols>
    <col min="4" max="4" width="12.28515625" customWidth="1"/>
    <col min="5" max="5" width="13.140625" customWidth="1"/>
  </cols>
  <sheetData>
    <row r="1" spans="1:5" x14ac:dyDescent="0.25">
      <c r="A1" t="s">
        <v>11</v>
      </c>
      <c r="B1" t="s">
        <v>124</v>
      </c>
      <c r="C1" t="s">
        <v>125</v>
      </c>
      <c r="D1" t="s">
        <v>123</v>
      </c>
      <c r="E1" t="s">
        <v>127</v>
      </c>
    </row>
    <row r="2" spans="1:5" x14ac:dyDescent="0.25">
      <c r="A2">
        <v>0</v>
      </c>
      <c r="B2">
        <v>0.1</v>
      </c>
      <c r="C2">
        <f>+B2</f>
        <v>0.1</v>
      </c>
      <c r="D2">
        <f>+B2*A2</f>
        <v>0</v>
      </c>
      <c r="E2" s="24">
        <f>(POWER(A2-$D$9,2))*B2</f>
        <v>0.6969599999999998</v>
      </c>
    </row>
    <row r="3" spans="1:5" x14ac:dyDescent="0.25">
      <c r="A3">
        <v>1</v>
      </c>
      <c r="B3">
        <v>0.15</v>
      </c>
      <c r="C3">
        <f>+C2+B3</f>
        <v>0.25</v>
      </c>
      <c r="D3">
        <f t="shared" ref="D3:D8" si="0">+B3*A3</f>
        <v>0.15</v>
      </c>
      <c r="E3" s="24">
        <f t="shared" ref="E3:E8" si="1">(POWER(A3-$D$9,2))*B3</f>
        <v>0.40343999999999985</v>
      </c>
    </row>
    <row r="4" spans="1:5" x14ac:dyDescent="0.25">
      <c r="A4">
        <v>2</v>
      </c>
      <c r="B4">
        <v>0.2</v>
      </c>
      <c r="C4">
        <f t="shared" ref="C4:C8" si="2">+C3+B4</f>
        <v>0.45</v>
      </c>
      <c r="D4">
        <f t="shared" si="0"/>
        <v>0.4</v>
      </c>
      <c r="E4" s="24">
        <f t="shared" si="1"/>
        <v>8.1919999999999923E-2</v>
      </c>
    </row>
    <row r="5" spans="1:5" x14ac:dyDescent="0.25">
      <c r="A5">
        <v>3</v>
      </c>
      <c r="B5">
        <v>0.25</v>
      </c>
      <c r="C5">
        <f t="shared" si="2"/>
        <v>0.7</v>
      </c>
      <c r="D5">
        <f t="shared" si="0"/>
        <v>0.75</v>
      </c>
      <c r="E5" s="24">
        <f t="shared" si="1"/>
        <v>3.2400000000000061E-2</v>
      </c>
    </row>
    <row r="6" spans="1:5" x14ac:dyDescent="0.25">
      <c r="A6">
        <v>4</v>
      </c>
      <c r="B6">
        <v>0.2</v>
      </c>
      <c r="C6">
        <f t="shared" si="2"/>
        <v>0.89999999999999991</v>
      </c>
      <c r="D6">
        <f t="shared" si="0"/>
        <v>0.8</v>
      </c>
      <c r="E6" s="24">
        <f t="shared" si="1"/>
        <v>0.36992000000000019</v>
      </c>
    </row>
    <row r="7" spans="1:5" x14ac:dyDescent="0.25">
      <c r="A7">
        <v>5</v>
      </c>
      <c r="B7">
        <v>0.06</v>
      </c>
      <c r="C7">
        <f t="shared" si="2"/>
        <v>0.96</v>
      </c>
      <c r="D7">
        <f t="shared" si="0"/>
        <v>0.3</v>
      </c>
      <c r="E7" s="24">
        <f t="shared" si="1"/>
        <v>0.33417600000000008</v>
      </c>
    </row>
    <row r="8" spans="1:5" x14ac:dyDescent="0.25">
      <c r="A8">
        <v>6</v>
      </c>
      <c r="B8">
        <v>0.04</v>
      </c>
      <c r="C8">
        <f t="shared" si="2"/>
        <v>1</v>
      </c>
      <c r="D8">
        <f t="shared" si="0"/>
        <v>0.24</v>
      </c>
      <c r="E8" s="24">
        <f t="shared" si="1"/>
        <v>0.4515840000000001</v>
      </c>
    </row>
    <row r="9" spans="1:5" x14ac:dyDescent="0.25">
      <c r="A9" t="s">
        <v>40</v>
      </c>
      <c r="B9">
        <f>SUM(B2:B8)</f>
        <v>1</v>
      </c>
      <c r="D9">
        <f>SUM(D2:D8)</f>
        <v>2.6399999999999997</v>
      </c>
      <c r="E9">
        <f>SUM(E2:E8)</f>
        <v>2.3704000000000001</v>
      </c>
    </row>
    <row r="10" spans="1:5" x14ac:dyDescent="0.25">
      <c r="A10" t="s">
        <v>126</v>
      </c>
    </row>
    <row r="11" spans="1:5" x14ac:dyDescent="0.25">
      <c r="A11" t="s">
        <v>128</v>
      </c>
    </row>
    <row r="12" spans="1:5" x14ac:dyDescent="0.25">
      <c r="A12" t="s">
        <v>129</v>
      </c>
      <c r="B12" s="24">
        <f>SQRT(E9)</f>
        <v>1.5396103403134185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55BC-455C-4DF8-A782-5E11ADF61488}">
  <dimension ref="A1:F19"/>
  <sheetViews>
    <sheetView tabSelected="1" workbookViewId="0">
      <selection activeCell="B5" sqref="B5"/>
    </sheetView>
  </sheetViews>
  <sheetFormatPr baseColWidth="10" defaultRowHeight="15" x14ac:dyDescent="0.25"/>
  <cols>
    <col min="3" max="3" width="12" customWidth="1"/>
    <col min="6" max="6" width="13.140625" customWidth="1"/>
  </cols>
  <sheetData>
    <row r="1" spans="1:6" x14ac:dyDescent="0.25">
      <c r="A1" t="s">
        <v>11</v>
      </c>
      <c r="B1" t="s">
        <v>124</v>
      </c>
      <c r="C1" t="s">
        <v>133</v>
      </c>
      <c r="D1" t="s">
        <v>134</v>
      </c>
      <c r="E1" t="s">
        <v>135</v>
      </c>
      <c r="F1" s="25" t="s">
        <v>127</v>
      </c>
    </row>
    <row r="2" spans="1:6" x14ac:dyDescent="0.25">
      <c r="A2" s="27">
        <v>0</v>
      </c>
      <c r="B2">
        <v>0.83</v>
      </c>
      <c r="C2">
        <f>B2*$C$15</f>
        <v>8300</v>
      </c>
      <c r="D2">
        <f>+B2</f>
        <v>0.83</v>
      </c>
      <c r="E2">
        <f>+A2*B2</f>
        <v>0</v>
      </c>
      <c r="F2" s="26">
        <f>(POWER(A2-$E$13,2))*B2</f>
        <v>7.5950187500000016E-2</v>
      </c>
    </row>
    <row r="3" spans="1:6" x14ac:dyDescent="0.25">
      <c r="A3" s="27">
        <v>1</v>
      </c>
      <c r="B3">
        <v>0.1</v>
      </c>
      <c r="C3">
        <f t="shared" ref="C3:C12" si="0">B3*$C$15</f>
        <v>1000</v>
      </c>
      <c r="D3">
        <f>+D2+B3</f>
        <v>0.92999999999999994</v>
      </c>
      <c r="E3">
        <f t="shared" ref="E3:E12" si="1">+A3*B3</f>
        <v>0.1</v>
      </c>
      <c r="F3" s="1">
        <f t="shared" ref="F3:F12" si="2">(POWER(A3-$E$13,2))*B3</f>
        <v>4.8650625000000003E-2</v>
      </c>
    </row>
    <row r="4" spans="1:6" x14ac:dyDescent="0.25">
      <c r="A4" s="27">
        <v>2</v>
      </c>
      <c r="B4">
        <v>0.05</v>
      </c>
      <c r="C4">
        <f t="shared" si="0"/>
        <v>500</v>
      </c>
      <c r="D4">
        <f t="shared" ref="D4:D12" si="3">+D3+B4</f>
        <v>0.98</v>
      </c>
      <c r="E4">
        <f t="shared" si="1"/>
        <v>0.1</v>
      </c>
      <c r="F4" s="26">
        <f t="shared" si="2"/>
        <v>0.14407531250000002</v>
      </c>
    </row>
    <row r="5" spans="1:6" x14ac:dyDescent="0.25">
      <c r="A5" s="27">
        <v>3</v>
      </c>
      <c r="B5">
        <v>0.02</v>
      </c>
      <c r="C5">
        <f t="shared" si="0"/>
        <v>200</v>
      </c>
      <c r="D5">
        <f t="shared" si="3"/>
        <v>1</v>
      </c>
      <c r="E5">
        <f t="shared" si="1"/>
        <v>0.06</v>
      </c>
      <c r="F5" s="1">
        <f t="shared" si="2"/>
        <v>0.14553012499999998</v>
      </c>
    </row>
    <row r="6" spans="1:6" x14ac:dyDescent="0.25">
      <c r="A6" s="27">
        <v>4</v>
      </c>
      <c r="B6">
        <v>5.0000000000000001E-3</v>
      </c>
      <c r="C6">
        <f t="shared" si="0"/>
        <v>50</v>
      </c>
      <c r="D6">
        <f t="shared" si="3"/>
        <v>1.0049999999999999</v>
      </c>
      <c r="E6">
        <f t="shared" si="1"/>
        <v>0.02</v>
      </c>
      <c r="F6" s="26">
        <f t="shared" si="2"/>
        <v>6.8357531249999992E-2</v>
      </c>
    </row>
    <row r="7" spans="1:6" x14ac:dyDescent="0.25">
      <c r="A7" s="27">
        <v>5</v>
      </c>
      <c r="B7">
        <v>2E-3</v>
      </c>
      <c r="C7">
        <f t="shared" si="0"/>
        <v>20</v>
      </c>
      <c r="D7">
        <f t="shared" si="3"/>
        <v>1.0069999999999999</v>
      </c>
      <c r="E7">
        <f t="shared" si="1"/>
        <v>0.01</v>
      </c>
      <c r="F7" s="1">
        <f t="shared" si="2"/>
        <v>4.4133012499999999E-2</v>
      </c>
    </row>
    <row r="8" spans="1:6" x14ac:dyDescent="0.25">
      <c r="A8" s="27">
        <v>6</v>
      </c>
      <c r="B8">
        <v>1E-3</v>
      </c>
      <c r="C8">
        <f t="shared" si="0"/>
        <v>10</v>
      </c>
      <c r="D8">
        <f t="shared" si="3"/>
        <v>1.0079999999999998</v>
      </c>
      <c r="E8">
        <f t="shared" si="1"/>
        <v>6.0000000000000001E-3</v>
      </c>
      <c r="F8" s="26">
        <f t="shared" si="2"/>
        <v>3.2461506250000001E-2</v>
      </c>
    </row>
    <row r="9" spans="1:6" x14ac:dyDescent="0.25">
      <c r="A9" s="27">
        <v>7</v>
      </c>
      <c r="B9">
        <v>5.0000000000000001E-4</v>
      </c>
      <c r="C9">
        <f t="shared" si="0"/>
        <v>5</v>
      </c>
      <c r="D9">
        <f t="shared" si="3"/>
        <v>1.0084999999999997</v>
      </c>
      <c r="E9">
        <f t="shared" si="1"/>
        <v>3.5000000000000001E-3</v>
      </c>
      <c r="F9" s="1">
        <f t="shared" si="2"/>
        <v>2.2428253124999999E-2</v>
      </c>
    </row>
    <row r="10" spans="1:6" x14ac:dyDescent="0.25">
      <c r="A10" s="27">
        <v>8</v>
      </c>
      <c r="B10">
        <v>2.0000000000000001E-4</v>
      </c>
      <c r="C10">
        <f t="shared" si="0"/>
        <v>2</v>
      </c>
      <c r="D10">
        <f t="shared" si="3"/>
        <v>1.0086999999999997</v>
      </c>
      <c r="E10">
        <f t="shared" si="1"/>
        <v>1.6000000000000001E-3</v>
      </c>
      <c r="F10" s="26">
        <f t="shared" si="2"/>
        <v>1.185030125E-2</v>
      </c>
    </row>
    <row r="11" spans="1:6" x14ac:dyDescent="0.25">
      <c r="A11" s="27">
        <v>9</v>
      </c>
      <c r="B11">
        <v>1E-4</v>
      </c>
      <c r="C11">
        <f t="shared" si="0"/>
        <v>1</v>
      </c>
      <c r="D11">
        <f t="shared" si="3"/>
        <v>1.0087999999999997</v>
      </c>
      <c r="E11">
        <f t="shared" si="1"/>
        <v>9.0000000000000008E-4</v>
      </c>
      <c r="F11" s="1">
        <f t="shared" si="2"/>
        <v>7.5646506250000006E-3</v>
      </c>
    </row>
    <row r="12" spans="1:6" x14ac:dyDescent="0.25">
      <c r="A12" s="27">
        <v>10</v>
      </c>
      <c r="B12">
        <v>5.0000000000000002E-5</v>
      </c>
      <c r="C12">
        <f t="shared" si="0"/>
        <v>0.5</v>
      </c>
      <c r="D12">
        <f t="shared" si="3"/>
        <v>1.0088499999999998</v>
      </c>
      <c r="E12">
        <f t="shared" si="1"/>
        <v>5.0000000000000001E-4</v>
      </c>
      <c r="F12" s="26">
        <f t="shared" si="2"/>
        <v>4.7020753124999998E-3</v>
      </c>
    </row>
    <row r="13" spans="1:6" x14ac:dyDescent="0.25">
      <c r="A13" t="s">
        <v>40</v>
      </c>
      <c r="B13">
        <f>SUM(B2:B12)</f>
        <v>1.0088499999999998</v>
      </c>
      <c r="C13">
        <f>SUM(C2:C12)</f>
        <v>10088.5</v>
      </c>
      <c r="E13">
        <f>SUM(E2:E12)</f>
        <v>0.30250000000000005</v>
      </c>
      <c r="F13" s="1">
        <f>SUM(F2:F12)</f>
        <v>0.60570358031249993</v>
      </c>
    </row>
    <row r="15" spans="1:6" x14ac:dyDescent="0.25">
      <c r="A15" t="s">
        <v>130</v>
      </c>
      <c r="C15">
        <v>10000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Hoja1</vt:lpstr>
      <vt:lpstr>Hoja2</vt:lpstr>
      <vt:lpstr>Hoja3</vt:lpstr>
      <vt:lpstr>Distribución</vt:lpstr>
      <vt:lpstr>Convergencia</vt:lpstr>
      <vt:lpstr>P10 Distribución</vt:lpstr>
      <vt:lpstr>P10 Momentos</vt:lpstr>
      <vt:lpstr>P11X, </vt:lpstr>
      <vt:lpstr>P20</vt:lpstr>
      <vt:lpstr>P21</vt:lpstr>
      <vt:lpstr>P23</vt:lpstr>
      <vt:lpstr>P24</vt:lpstr>
      <vt:lpstr>P25</vt:lpstr>
      <vt:lpstr>P26</vt:lpstr>
      <vt:lpstr>P28</vt:lpstr>
      <vt:lpstr>P29</vt:lpstr>
      <vt:lpstr>P30</vt:lpstr>
      <vt:lpstr>P31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MELFI</dc:creator>
  <cp:lastModifiedBy>ROMINA MELFI</cp:lastModifiedBy>
  <dcterms:created xsi:type="dcterms:W3CDTF">2026-04-28T17:31:49Z</dcterms:created>
  <dcterms:modified xsi:type="dcterms:W3CDTF">2026-05-08T00:55:31Z</dcterms:modified>
</cp:coreProperties>
</file>